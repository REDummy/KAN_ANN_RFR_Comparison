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on\PycharmProjects\Thesis\"/>
    </mc:Choice>
  </mc:AlternateContent>
  <xr:revisionPtr revIDLastSave="0" documentId="13_ncr:1_{5557DD09-FFF7-4FD8-9D8B-FF40BB185F6C}" xr6:coauthVersionLast="47" xr6:coauthVersionMax="47" xr10:uidLastSave="{00000000-0000-0000-0000-000000000000}"/>
  <bookViews>
    <workbookView xWindow="-120" yWindow="-120" windowWidth="29040" windowHeight="15720" xr2:uid="{FD0F74CC-2B2B-45B1-A8AA-94F8A512B5AB}"/>
  </bookViews>
  <sheets>
    <sheet name="sample_predictions_Forest Fir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1" l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</calcChain>
</file>

<file path=xl/sharedStrings.xml><?xml version="1.0" encoding="utf-8"?>
<sst xmlns="http://schemas.openxmlformats.org/spreadsheetml/2006/main" count="20" uniqueCount="20">
  <si>
    <t>Feature_0</t>
  </si>
  <si>
    <t>Feature_1</t>
  </si>
  <si>
    <t>Feature_2</t>
  </si>
  <si>
    <t>Feature_3</t>
  </si>
  <si>
    <t>Feature_4</t>
  </si>
  <si>
    <t>Feature_5</t>
  </si>
  <si>
    <t>Feature_6</t>
  </si>
  <si>
    <t>Feature_7</t>
  </si>
  <si>
    <t>Feature_8</t>
  </si>
  <si>
    <t>Feature_9</t>
  </si>
  <si>
    <t>Feature_10</t>
  </si>
  <si>
    <t>Feature_11</t>
  </si>
  <si>
    <t>Actual</t>
  </si>
  <si>
    <t>Scenario 1</t>
  </si>
  <si>
    <t>Scenario 2</t>
  </si>
  <si>
    <t>Scenario 3</t>
  </si>
  <si>
    <t>Scenario 4</t>
  </si>
  <si>
    <t>Scenario 5</t>
  </si>
  <si>
    <t>Green Count: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</si>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</sst>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9.8000000000000007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0EE9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/>
    <xf numFmtId="0" fontId="19" fillId="0" borderId="0" xfId="0" applyFont="1" applyAlignment="1">
      <alignment vertical="center"/>
    </xf>
    <xf numFmtId="0" fontId="19" fillId="33" borderId="0" xfId="0" applyFont="1" applyFill="1" applyAlignment="1">
      <alignment vertical="center"/>
    </xf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3F0AF1-E19A-4198-B87A-542AAF494C5F}" name="Table1" displayName="Table1" ref="A1:S107" totalsRowShown="0" dataDxfId="19">
  <autoFilter ref="A1:S107" xr:uid="{BF3F0AF1-E19A-4198-B87A-542AAF494C5F}"/>
  <tableColumns count="19">
    <tableColumn id="1" xr3:uid="{6B0797BB-40E2-4E43-8F37-FED746367E14}" name="Feature_0" dataDxfId="18"/>
    <tableColumn id="2" xr3:uid="{C6198DBB-3015-439F-A458-D67093EA701B}" name="Feature_1" dataDxfId="17"/>
    <tableColumn id="3" xr3:uid="{FB0E73B1-95B0-44C9-8B67-D0CBD7B10C75}" name="Feature_2" dataDxfId="16"/>
    <tableColumn id="4" xr3:uid="{125E8A3A-F8F2-46DC-A807-266C3260D77F}" name="Feature_3" dataDxfId="15"/>
    <tableColumn id="5" xr3:uid="{2906C2D2-6FBB-4B63-A432-A51A4DA975F6}" name="Feature_4" dataDxfId="14"/>
    <tableColumn id="6" xr3:uid="{58C70C0A-9812-45E6-908F-A5C38AA547D3}" name="Feature_5" dataDxfId="13"/>
    <tableColumn id="7" xr3:uid="{84D301C5-EB79-4FCF-B324-C1B3708FED8C}" name="Feature_6" dataDxfId="12"/>
    <tableColumn id="8" xr3:uid="{F615071E-FE1D-4421-B925-577400874364}" name="Feature_7" dataDxfId="11"/>
    <tableColumn id="9" xr3:uid="{371568D4-9B8F-4144-A6CA-47717EB799DC}" name="Feature_8" dataDxfId="10"/>
    <tableColumn id="10" xr3:uid="{4791EE5B-4F43-4775-88E6-6533A82D16B2}" name="Feature_9" dataDxfId="9"/>
    <tableColumn id="11" xr3:uid="{02390425-6EAE-4F20-A6D4-14483723B60A}" name="Feature_10" dataDxfId="8"/>
    <tableColumn id="12" xr3:uid="{E86EB2AF-A0D3-461A-A387-28A4E77F5BDD}" name="Feature_11" dataDxfId="7"/>
    <tableColumn id="13" xr3:uid="{0378F279-EA2B-4665-A6FE-CF13ABD39412}" name="Actual" dataDxfId="6"/>
    <tableColumn id="14" xr3:uid="{FF79E621-9B0B-42AA-8C33-010BE701B1B8}" name="Column1" dataDxfId="5"/>
    <tableColumn id="15" xr3:uid="{893EB25E-7480-46F1-B150-D19E2F3D589A}" name="Scenario 1" dataDxfId="4">
      <calculatedColumnFormula>0.0707*A2 + 0.3513*J2 - 0.148*K2 - 0.0254*L2 + 0.0945*B2 + 0.0838*C2 - 0.1098*D2 - 0.0029*E2 - 0.1695*F2 + 0.121*G2 - 0.0023*H2 + 0.2005*I2 + 0.0034*EXP(1.4292*E2) - 0.0606*SIN(1*L2 + 1.4053) + 1.3522*SIN(2.9197*L2 - 7.644) + 0.0425*SIN(1.9347*C2 - 2.5505) - 0.0088*SIN(3.5081*C2 - 7.7607) + 2.9036</calculatedColumnFormula>
    </tableColumn>
    <tableColumn id="16" xr3:uid="{EF345E70-36D0-4B4D-8887-22D59150F340}" name="Scenario 2" dataDxfId="3">
      <calculatedColumnFormula>0.004*A2 + 0.0089*J2 - 0.0063*K2 - 0.0327*L2 + 0.0053*B2 + 0.0082*C2 + 0.004*D2 - 0.0011*E2 - 0.0133*F2 + 0.0044*G2 + 0.0111*H2 - 0.0003*I2 - 0.0024*SQRT(1 - 0.8455*C2) + 0.0016*(-0.7809*I2 - 1)^2 + 0.0007*EXP(0.7704*K2) - 0.0167*SIN(2.8038*L2 + 7.9002) - 0.0013*SIN(5.0219*B2 - 0.4098) + 0.0004*SIN(5.0338*B2 + 8.9958) - 0.0011*SIN(0.621*C2 + 1.9102) + 0.0009*SIN(1.1851*C2 + 8.5936) + 0.0008*SIN(9.372*D2 + 9.9998) + 1.5413</calculatedColumnFormula>
    </tableColumn>
    <tableColumn id="17" xr3:uid="{A01F09E1-F19F-4B86-91DE-997BFC6DF416}" name="Scenario 3" dataDxfId="2">
      <calculatedColumnFormula xml:space="preserve"> 0.0049*A2 + 0.0177*J2 + 0.0014*K2 - 0.0348*L2 - 0.0318*B2 + 0.0559*C2 - 0.0638*D2 - 0.0014*E2 - 0.0236*F2 + 0.0056*G2 - 0.0317*H2 + 0.013*I2 - 0.001*(-0.743*I2 - 1)^2 - 0.0092*EXP(-0.0775*A2 - 0.0866*J2 + 0.057*K2 - 0.2106*L2 - 0.0888*B2 + 0.1115*C2 + 0.0164*D2 + 0.0019*E2 + 0.0949*F2 - 0.007*G2 - 0.0252*H2 - 0.025*I2) - 0.0327*SIN(0.56*A2 - 4.419) + 0.2232*SIN(2.8002*L2 + 7.9889) - 0.0678*SIN(3.0034*L2 - 5.2083) - 1.163*SIN(8.608*L2 + 9.0216) - 0.0928*SIN(8.6081*L2 + 9.0049) - 0.2564*SIN(8.6081*L2 + 9.0198) - 0.0489*SIN(0.8118*D2 + 5.3891) - 0.0363*SIN(0.4099*G2 + 5.2175) - 0.0005*TAN(2.6158*B2 - 1.9768) - 0.0001*TAN(5.1313*B2 - 2.4811) - 0.0016*TAN(9.4394*B2 + 2.0395) - 0*TAN(9.451*B2 + 2.052) + 2.3482</calculatedColumnFormula>
    </tableColumn>
    <tableColumn id="18" xr3:uid="{864314D2-B679-4423-B27E-FDF2390A7673}" name="Scenario 4" dataDxfId="1">
      <calculatedColumnFormula>-1.8317*A2 + 2.233*J2 - 0.4713*K2 + 0.2053*L2 - 0.604*B2 + 0.1096*C2 - 1.4373*D2 - 0.1075*E2 - 1.1536*F2 + 0.3987*G2 - 0.7942*H2 - 0.7312*I2 + 0.0589*EXP(1.6525*C2) + 0.0438*SIN(0.8371*A2 + 5.423) + 10.4162*SIN(2.8042*L2 + 4.687) - 2.371*SIN(8.5999*L2 + 3.0151) - 1.4228*SIN(8.604*L2 + 6.0738) + 0.0348*SIN(0.7277*H2 - 1.031) + 11.7139</calculatedColumnFormula>
    </tableColumn>
    <tableColumn id="19" xr3:uid="{4DA1AD1D-52DE-460A-8F61-EB0740A7CF17}" name="Scenario 5" dataDxfId="0">
      <calculatedColumnFormula>0.0614*A2 - 0.2912*J2 + 0.3615*K2 + 0.0998*L2 - 0.3538*B2 - 0.0546*C2 - 0.2401*D2 - 0.0352*E2 + 0.0743*F2 - 0.6423*G2 + 0.1956*H2 + 0.7758*I2 - 0.057*(-B2 - 0.9558)^2 + 0.0043*EXP(4.2598*C2) + 0.8412*SIN(1.4244*A2 - 2.0027) - 0.2064*SIN(0.6031*J2 - 4.407) + 0.225*SIN(3.0037*L2 - 2.4175) - 0.024*SIN(1.612*C2 - 9.986) + 0.1088*SIN(1.9462*C2 - 1.19519996643066) + 0.0802*SIN(2.8134*D2 + 3.398) - 0.1945*SIN(1.1774*F2 + 8.3903) - 0.7165*SIN(1.5963*F2 - 3.2053) - 0.1861*SIN(1.272*I2 - 9.988) + 1.6536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2501F-4EBA-407A-82FC-0ECFE8C29036}">
  <sheetPr codeName="Sheet1"/>
  <dimension ref="A1:S109"/>
  <sheetViews>
    <sheetView tabSelected="1" topLeftCell="A77" workbookViewId="0">
      <selection activeCell="P107" sqref="P107"/>
    </sheetView>
  </sheetViews>
  <sheetFormatPr defaultRowHeight="15" x14ac:dyDescent="0.25"/>
  <cols>
    <col min="1" max="10" width="12" customWidth="1"/>
    <col min="11" max="12" width="13" customWidth="1"/>
    <col min="14" max="14" width="11.7109375" hidden="1" customWidth="1"/>
    <col min="15" max="19" width="12.140625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19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x14ac:dyDescent="0.25">
      <c r="A2">
        <v>-0.2597661</v>
      </c>
      <c r="B2">
        <v>-0.22818807999999999</v>
      </c>
      <c r="C2">
        <v>-1.0930594</v>
      </c>
      <c r="D2">
        <v>1.7058519999999999</v>
      </c>
      <c r="E2">
        <v>1.0355501</v>
      </c>
      <c r="F2">
        <v>0.46210040000000002</v>
      </c>
      <c r="G2">
        <v>0.20828134000000001</v>
      </c>
      <c r="H2">
        <v>1.8642573</v>
      </c>
      <c r="I2">
        <v>0.29172366999999999</v>
      </c>
      <c r="J2">
        <v>0.86410253999999997</v>
      </c>
      <c r="K2">
        <v>-1.5094372</v>
      </c>
      <c r="L2">
        <v>-9.5948500000000006E-2</v>
      </c>
      <c r="M2">
        <v>0</v>
      </c>
      <c r="O2">
        <f t="shared" ref="O2:O33" si="0">0.0707*A2 + 0.3513*J2 - 0.148*K2 - 0.0254*L2 + 0.0945*B2 + 0.0838*C2 - 0.1098*D2 - 0.0029*E2 - 0.1695*F2 + 0.121*G2 - 0.0023*H2 + 0.2005*I2 + 0.0034*EXP(1.4292*E2) - 0.0606*SIN(1*L2 + 1.4053) + 1.3522*SIN(2.9197*L2 - 7.644) + 0.0425*SIN(1.9347*C2 - 2.5505) - 0.0088*SIN(3.5081*C2 - 7.7607) + 2.9036</f>
        <v>1.7549489425407492</v>
      </c>
      <c r="P2">
        <f t="shared" ref="P2:P33" si="1">0.004*A2 + 0.0089*J2 - 0.0063*K2 - 0.0327*L2 + 0.0053*B2 + 0.0082*C2 + 0.004*D2 - 0.0011*E2 - 0.0133*F2 + 0.0044*G2 + 0.0111*H2 - 0.0003*I2 - 0.0024*SQRT(1 - 0.8455*C2) + 0.0016*(-0.7809*I2 - 1)^2 + 0.0007*EXP(0.7704*K2) - 0.0167*SIN(2.8038*L2 + 7.9002) - 0.0013*SIN(5.0219*B2 - 0.4098) + 0.0004*SIN(5.0338*B2 + 8.9958) - 0.0011*SIN(0.621*C2 + 1.9102) + 0.0009*SIN(1.1851*C2 + 8.5936) + 0.0008*SIN(9.372*D2 + 9.9998) + 1.5413</f>
        <v>1.5565313637663325</v>
      </c>
      <c r="Q2">
        <f t="shared" ref="Q2:Q33" si="2" xml:space="preserve"> 0.0049*A2 + 0.0177*J2 + 0.0014*K2 - 0.0348*L2 - 0.0318*B2 + 0.0559*C2 - 0.0638*D2 - 0.0014*E2 - 0.0236*F2 + 0.0056*G2 - 0.0317*H2 + 0.013*I2 - 0.001*(-0.743*I2 - 1)^2 - 0.0092*EXP(-0.0775*A2 - 0.0866*J2 + 0.057*K2 - 0.2106*L2 - 0.0888*B2 + 0.1115*C2 + 0.0164*D2 + 0.0019*E2 + 0.0949*F2 - 0.007*G2 - 0.0252*H2 - 0.025*I2) - 0.0327*SIN(0.56*A2 - 4.419) + 0.2232*SIN(2.8002*L2 + 7.9889) - 0.0678*SIN(3.0034*L2 - 5.2083) - 1.163*SIN(8.608*L2 + 9.0216) - 0.0928*SIN(8.6081*L2 + 9.0049) - 0.2564*SIN(8.6081*L2 + 9.0198) - 0.0489*SIN(0.8118*D2 + 5.3891) - 0.0363*SIN(0.4099*G2 + 5.2175) - 0.0005*TAN(2.6158*B2 - 1.9768) - 0.0001*TAN(5.1313*B2 - 2.4811) - 0.0016*TAN(9.4394*B2 + 2.0395) - 0*TAN(9.451*B2 + 2.052) + 2.3482</f>
        <v>0.84774095788891324</v>
      </c>
      <c r="R2" s="2">
        <f t="shared" ref="R2:R33" si="3">-1.8317*A2 + 2.233*J2 - 0.4713*K2 + 0.2053*L2 - 0.604*B2 + 0.1096*C2 - 1.4373*D2 - 0.1075*E2 - 1.1536*F2 + 0.3987*G2 - 0.7942*H2 - 0.7312*I2 + 0.0589*EXP(1.6525*C2) + 0.0438*SIN(0.8371*A2 + 5.423) + 10.4162*SIN(2.8042*L2 + 4.687) - 2.371*SIN(8.5999*L2 + 3.0151) - 1.4228*SIN(8.604*L2 + 6.0738) + 0.0348*SIN(0.7277*H2 - 1.031) + 11.7139</f>
        <v>-0.57129682429792972</v>
      </c>
      <c r="S2" s="3">
        <f t="shared" ref="S2:S33" si="4">0.0614*A2 - 0.2912*J2 + 0.3615*K2 + 0.0998*L2 - 0.3538*B2 - 0.0546*C2 - 0.2401*D2 - 0.0352*E2 + 0.0743*F2 - 0.6423*G2 + 0.1956*H2 + 0.7758*I2 - 0.057*(-B2 - 0.9558)^2 + 0.0043*EXP(4.2598*C2) + 0.8412*SIN(1.4244*A2 - 2.0027) - 0.2064*SIN(0.6031*J2 - 4.407) + 0.225*SIN(3.0037*L2 - 2.4175) - 0.024*SIN(1.612*C2 - 9.986) + 0.1088*SIN(1.9462*C2 - 1.19519996643066) + 0.0802*SIN(2.8134*D2 + 3.398) - 0.1945*SIN(1.1774*F2 + 8.3903) - 0.7165*SIN(1.5963*F2 - 3.2053) - 0.1861*SIN(1.272*I2 - 9.988) + 1.6536</f>
        <v>0.56440640163280054</v>
      </c>
    </row>
    <row r="3" spans="1:19" x14ac:dyDescent="0.25">
      <c r="A3">
        <v>-0.2597661</v>
      </c>
      <c r="B3">
        <v>-1.0476810000000001</v>
      </c>
      <c r="C3">
        <v>1.1823112</v>
      </c>
      <c r="D3">
        <v>-1.3706408999999999</v>
      </c>
      <c r="E3">
        <v>-0.12814501</v>
      </c>
      <c r="F3">
        <v>2.8153893999999999</v>
      </c>
      <c r="G3">
        <v>1.2308334000000001</v>
      </c>
      <c r="H3">
        <v>-0.3453117</v>
      </c>
      <c r="I3">
        <v>0.16720378</v>
      </c>
      <c r="J3">
        <v>-1.2892526E-2</v>
      </c>
      <c r="K3">
        <v>-0.4857959</v>
      </c>
      <c r="L3">
        <v>-9.5948500000000006E-2</v>
      </c>
      <c r="M3">
        <v>2.1747518000000001</v>
      </c>
      <c r="O3">
        <f t="shared" si="0"/>
        <v>1.3923887765544587</v>
      </c>
      <c r="P3">
        <f t="shared" si="1"/>
        <v>1.4932171070101528</v>
      </c>
      <c r="Q3">
        <f t="shared" si="2"/>
        <v>1.5190011476129843</v>
      </c>
      <c r="R3" s="4">
        <f t="shared" si="3"/>
        <v>2.1794357102216644</v>
      </c>
      <c r="S3">
        <f t="shared" si="4"/>
        <v>0.84143707237482268</v>
      </c>
    </row>
    <row r="4" spans="1:19" x14ac:dyDescent="0.25">
      <c r="A4">
        <v>-0.6888997</v>
      </c>
      <c r="B4">
        <v>-0.22818807999999999</v>
      </c>
      <c r="C4">
        <v>-0.86552229999999997</v>
      </c>
      <c r="D4">
        <v>-0.85789210000000005</v>
      </c>
      <c r="E4">
        <v>-1.3160837999999999</v>
      </c>
      <c r="F4">
        <v>-1.3721038999999999</v>
      </c>
      <c r="G4">
        <v>-0.84132019999999996</v>
      </c>
      <c r="H4">
        <v>-1.3750138000000001</v>
      </c>
      <c r="I4">
        <v>-2.5544449999999999</v>
      </c>
      <c r="J4">
        <v>-1.4536701000000001</v>
      </c>
      <c r="K4">
        <v>2.5851280000000001</v>
      </c>
      <c r="L4">
        <v>-9.5948500000000006E-2</v>
      </c>
      <c r="M4">
        <v>2.4621496</v>
      </c>
      <c r="O4">
        <f t="shared" si="0"/>
        <v>0.21177435003428347</v>
      </c>
      <c r="P4">
        <f t="shared" si="1"/>
        <v>1.4917100114006696</v>
      </c>
      <c r="Q4">
        <f t="shared" si="2"/>
        <v>1.1670353734200054</v>
      </c>
      <c r="R4" s="4">
        <f t="shared" si="3"/>
        <v>3.380496720187395</v>
      </c>
      <c r="S4">
        <f t="shared" si="4"/>
        <v>0.58145217138156391</v>
      </c>
    </row>
    <row r="5" spans="1:19" x14ac:dyDescent="0.25">
      <c r="A5">
        <v>1.4567683</v>
      </c>
      <c r="B5">
        <v>1.4107976</v>
      </c>
      <c r="C5">
        <v>0.27216297</v>
      </c>
      <c r="D5">
        <v>0.16760554999999999</v>
      </c>
      <c r="E5">
        <v>-0.37058150000000001</v>
      </c>
      <c r="F5">
        <v>-0.96221703000000003</v>
      </c>
      <c r="G5">
        <v>-1.8556755</v>
      </c>
      <c r="H5">
        <v>0.12663506999999999</v>
      </c>
      <c r="I5">
        <v>-1.3448232</v>
      </c>
      <c r="J5">
        <v>3.4324452999999999</v>
      </c>
      <c r="K5">
        <v>-1.2250924000000001</v>
      </c>
      <c r="L5">
        <v>-9.5948500000000006E-2</v>
      </c>
      <c r="M5">
        <v>0</v>
      </c>
      <c r="O5">
        <f t="shared" si="0"/>
        <v>2.7643630922200639</v>
      </c>
      <c r="P5">
        <f t="shared" si="1"/>
        <v>1.5858011066253934</v>
      </c>
      <c r="Q5" s="4">
        <f t="shared" si="2"/>
        <v>1.1718520905164862</v>
      </c>
      <c r="R5">
        <f t="shared" si="3"/>
        <v>6.9016865061954498</v>
      </c>
      <c r="S5">
        <f t="shared" si="4"/>
        <v>-1.4818261302296252</v>
      </c>
    </row>
    <row r="6" spans="1:19" x14ac:dyDescent="0.25">
      <c r="A6">
        <v>-0.2597661</v>
      </c>
      <c r="B6">
        <v>-0.22818807999999999</v>
      </c>
      <c r="C6">
        <v>-1.0930594</v>
      </c>
      <c r="D6">
        <v>1.1931031999999999</v>
      </c>
      <c r="E6">
        <v>0.96281919999999999</v>
      </c>
      <c r="F6">
        <v>-6.0149340000000003E-2</v>
      </c>
      <c r="G6">
        <v>0.37754547999999999</v>
      </c>
      <c r="H6">
        <v>1.7140924</v>
      </c>
      <c r="I6">
        <v>-0.41981849999999998</v>
      </c>
      <c r="J6">
        <v>0.61353254000000002</v>
      </c>
      <c r="K6">
        <v>0.82219030000000004</v>
      </c>
      <c r="L6">
        <v>-9.5948500000000006E-2</v>
      </c>
      <c r="M6">
        <v>0</v>
      </c>
      <c r="O6">
        <f t="shared" si="0"/>
        <v>1.3435624362854168</v>
      </c>
      <c r="P6">
        <f t="shared" si="1"/>
        <v>1.5432651553918653</v>
      </c>
      <c r="Q6">
        <f t="shared" si="2"/>
        <v>0.90617816342534696</v>
      </c>
      <c r="R6">
        <f t="shared" si="3"/>
        <v>-0.17909191996714391</v>
      </c>
      <c r="S6" s="4">
        <f t="shared" si="4"/>
        <v>4.3279667399340527E-2</v>
      </c>
    </row>
    <row r="7" spans="1:19" x14ac:dyDescent="0.25">
      <c r="A7">
        <v>0.59850110000000001</v>
      </c>
      <c r="B7">
        <v>-1.0476810000000001</v>
      </c>
      <c r="C7">
        <v>0.27216297</v>
      </c>
      <c r="D7">
        <v>-0.34514329999999999</v>
      </c>
      <c r="E7">
        <v>-5.5414054999999997E-2</v>
      </c>
      <c r="F7">
        <v>-0.98120797000000004</v>
      </c>
      <c r="G7">
        <v>-1.8630526000000001</v>
      </c>
      <c r="H7">
        <v>-0.25950321999999998</v>
      </c>
      <c r="I7">
        <v>-0.66885823</v>
      </c>
      <c r="J7">
        <v>-0.82724509999999996</v>
      </c>
      <c r="K7">
        <v>2.5851280000000001</v>
      </c>
      <c r="L7">
        <v>-9.5948500000000006E-2</v>
      </c>
      <c r="M7">
        <v>1.0784096000000001</v>
      </c>
      <c r="O7">
        <f t="shared" si="0"/>
        <v>0.60628591182394453</v>
      </c>
      <c r="P7">
        <f t="shared" si="1"/>
        <v>1.5066979618933742</v>
      </c>
      <c r="Q7" s="4">
        <f t="shared" si="2"/>
        <v>1.4818269404226838</v>
      </c>
      <c r="R7">
        <f t="shared" si="3"/>
        <v>-0.84987966034904083</v>
      </c>
      <c r="S7">
        <f t="shared" si="4"/>
        <v>1.723656712779924</v>
      </c>
    </row>
    <row r="8" spans="1:19" x14ac:dyDescent="0.25">
      <c r="A8">
        <v>1.0276346000000001</v>
      </c>
      <c r="B8">
        <v>-0.22818807999999999</v>
      </c>
      <c r="C8">
        <v>1.1823112</v>
      </c>
      <c r="D8">
        <v>0.16760554999999999</v>
      </c>
      <c r="E8">
        <v>0.38097164</v>
      </c>
      <c r="F8">
        <v>-9.9713709999999997E-2</v>
      </c>
      <c r="G8">
        <v>0.83246845000000003</v>
      </c>
      <c r="H8">
        <v>0.19099145000000001</v>
      </c>
      <c r="I8">
        <v>1.1277857</v>
      </c>
      <c r="J8">
        <v>-1.0778152000000001</v>
      </c>
      <c r="K8">
        <v>-0.71327174000000004</v>
      </c>
      <c r="L8">
        <v>-9.5948500000000006E-2</v>
      </c>
      <c r="M8">
        <v>0</v>
      </c>
      <c r="O8">
        <f t="shared" si="0"/>
        <v>1.6903339192510769</v>
      </c>
      <c r="P8">
        <f t="shared" si="1"/>
        <v>1.5487057052324367</v>
      </c>
      <c r="Q8" s="4">
        <f t="shared" si="2"/>
        <v>1.1849340182123762</v>
      </c>
      <c r="R8">
        <f t="shared" si="3"/>
        <v>-3.0895007502396812</v>
      </c>
      <c r="S8">
        <f t="shared" si="4"/>
        <v>1.8801481830661682</v>
      </c>
    </row>
    <row r="9" spans="1:19" x14ac:dyDescent="0.25">
      <c r="A9">
        <v>0.16936749000000001</v>
      </c>
      <c r="B9">
        <v>1.4107976</v>
      </c>
      <c r="C9">
        <v>1.1823112</v>
      </c>
      <c r="D9">
        <v>1.7058519999999999</v>
      </c>
      <c r="E9">
        <v>0.84160095000000001</v>
      </c>
      <c r="F9">
        <v>-0.42730674000000002</v>
      </c>
      <c r="G9">
        <v>0.5627934</v>
      </c>
      <c r="H9">
        <v>1.478119</v>
      </c>
      <c r="I9">
        <v>1.2345170000000001</v>
      </c>
      <c r="J9">
        <v>-1.2657427000000001</v>
      </c>
      <c r="K9">
        <v>2.6024780000000001E-2</v>
      </c>
      <c r="L9">
        <v>-9.5948500000000006E-2</v>
      </c>
      <c r="M9">
        <v>0</v>
      </c>
      <c r="O9">
        <f t="shared" si="0"/>
        <v>1.4856636340377338</v>
      </c>
      <c r="P9">
        <f t="shared" si="1"/>
        <v>1.5704501361139791</v>
      </c>
      <c r="Q9">
        <f t="shared" si="2"/>
        <v>0.93798786151537272</v>
      </c>
      <c r="R9">
        <f t="shared" si="3"/>
        <v>-6.3659507835865714</v>
      </c>
      <c r="S9" s="4">
        <f t="shared" si="4"/>
        <v>0.79253328203303108</v>
      </c>
    </row>
    <row r="10" spans="1:19" x14ac:dyDescent="0.25">
      <c r="A10">
        <v>-1.5471668000000001</v>
      </c>
      <c r="B10">
        <v>-0.22818807999999999</v>
      </c>
      <c r="C10">
        <v>-0.18291114</v>
      </c>
      <c r="D10">
        <v>1.1931031999999999</v>
      </c>
      <c r="E10">
        <v>0.35672799999999999</v>
      </c>
      <c r="F10">
        <v>-0.25164091999999999</v>
      </c>
      <c r="G10">
        <v>-0.42943048</v>
      </c>
      <c r="H10">
        <v>0.66293824000000001</v>
      </c>
      <c r="I10">
        <v>0.78980315000000001</v>
      </c>
      <c r="J10">
        <v>-0.82724509999999996</v>
      </c>
      <c r="K10">
        <v>0.82219030000000004</v>
      </c>
      <c r="L10">
        <v>-9.5948500000000006E-2</v>
      </c>
      <c r="M10">
        <v>0</v>
      </c>
      <c r="O10" s="4">
        <f t="shared" si="0"/>
        <v>0.95872017702648882</v>
      </c>
      <c r="P10">
        <f t="shared" si="1"/>
        <v>1.5245779927707517</v>
      </c>
      <c r="Q10">
        <f t="shared" si="2"/>
        <v>0.98058657852975983</v>
      </c>
      <c r="R10">
        <f t="shared" si="3"/>
        <v>-1.0134991896462999</v>
      </c>
      <c r="S10">
        <f t="shared" si="4"/>
        <v>2.766997783978133</v>
      </c>
    </row>
    <row r="11" spans="1:19" x14ac:dyDescent="0.25">
      <c r="A11">
        <v>1.4567683</v>
      </c>
      <c r="B11">
        <v>1.4107976</v>
      </c>
      <c r="C11">
        <v>-1.0930594</v>
      </c>
      <c r="D11">
        <v>-0.85789210000000005</v>
      </c>
      <c r="E11">
        <v>6.5804189999999999E-2</v>
      </c>
      <c r="F11">
        <v>-0.14086066</v>
      </c>
      <c r="G11">
        <v>0.34352872000000001</v>
      </c>
      <c r="H11">
        <v>-0.68854576000000001</v>
      </c>
      <c r="I11">
        <v>0.78980315000000001</v>
      </c>
      <c r="J11">
        <v>-1.3910277</v>
      </c>
      <c r="K11">
        <v>-0.71327174000000004</v>
      </c>
      <c r="L11">
        <v>-9.5948500000000006E-2</v>
      </c>
      <c r="M11">
        <v>0</v>
      </c>
      <c r="O11">
        <f t="shared" si="0"/>
        <v>1.6185460528924525</v>
      </c>
      <c r="P11">
        <f t="shared" si="1"/>
        <v>1.5176825089885018</v>
      </c>
      <c r="Q11">
        <f t="shared" si="2"/>
        <v>1.1270131811232384</v>
      </c>
      <c r="R11">
        <f t="shared" si="3"/>
        <v>-3.9064278206507925</v>
      </c>
      <c r="S11" s="4">
        <f t="shared" si="4"/>
        <v>1.1238561152718018</v>
      </c>
    </row>
    <row r="12" spans="1:19" x14ac:dyDescent="0.25">
      <c r="A12">
        <v>1.0276346000000001</v>
      </c>
      <c r="B12">
        <v>0.59130479999999996</v>
      </c>
      <c r="C12">
        <v>-1.0930594</v>
      </c>
      <c r="D12">
        <v>-0.34514329999999999</v>
      </c>
      <c r="E12">
        <v>0.69613910000000001</v>
      </c>
      <c r="F12">
        <v>1.8832526000000001</v>
      </c>
      <c r="G12">
        <v>0.65623699999999996</v>
      </c>
      <c r="H12">
        <v>-0.13079044000000001</v>
      </c>
      <c r="I12">
        <v>1.3234596999999999</v>
      </c>
      <c r="J12">
        <v>-0.70196009999999998</v>
      </c>
      <c r="K12">
        <v>-0.20145108</v>
      </c>
      <c r="L12">
        <v>-9.5948500000000006E-2</v>
      </c>
      <c r="M12">
        <v>0</v>
      </c>
      <c r="O12">
        <f t="shared" si="0"/>
        <v>1.4248823022924286</v>
      </c>
      <c r="P12">
        <f t="shared" si="1"/>
        <v>1.4983444328322089</v>
      </c>
      <c r="Q12" s="4">
        <f t="shared" si="2"/>
        <v>1.04398831001788</v>
      </c>
      <c r="R12">
        <f t="shared" si="3"/>
        <v>-5.1882376327325463</v>
      </c>
      <c r="S12">
        <f t="shared" si="4"/>
        <v>2.1429284591465834</v>
      </c>
    </row>
    <row r="13" spans="1:19" x14ac:dyDescent="0.25">
      <c r="A13">
        <v>-0.2597661</v>
      </c>
      <c r="B13">
        <v>0.59130479999999996</v>
      </c>
      <c r="C13">
        <v>1.1823112</v>
      </c>
      <c r="D13">
        <v>-0.85789210000000005</v>
      </c>
      <c r="E13">
        <v>-0.54028699999999996</v>
      </c>
      <c r="F13">
        <v>-0.32127422</v>
      </c>
      <c r="G13">
        <v>0.63492530000000003</v>
      </c>
      <c r="H13">
        <v>-0.40966809999999998</v>
      </c>
      <c r="I13">
        <v>-0.27751005000000001</v>
      </c>
      <c r="J13">
        <v>0.73881750000000002</v>
      </c>
      <c r="K13">
        <v>0.82219030000000004</v>
      </c>
      <c r="L13">
        <v>-9.5948500000000006E-2</v>
      </c>
      <c r="M13">
        <v>0</v>
      </c>
      <c r="O13">
        <f t="shared" si="0"/>
        <v>1.9319444205558629</v>
      </c>
      <c r="P13">
        <f t="shared" si="1"/>
        <v>1.5421478875746952</v>
      </c>
      <c r="Q13">
        <f t="shared" si="2"/>
        <v>1.2612025346716593</v>
      </c>
      <c r="R13">
        <f t="shared" si="3"/>
        <v>5.315660528252022</v>
      </c>
      <c r="S13" s="4">
        <f t="shared" si="4"/>
        <v>8.6035322719390184E-2</v>
      </c>
    </row>
    <row r="14" spans="1:19" x14ac:dyDescent="0.25">
      <c r="A14">
        <v>-1.1180333</v>
      </c>
      <c r="B14">
        <v>0.59130479999999996</v>
      </c>
      <c r="C14">
        <v>0.95477414000000005</v>
      </c>
      <c r="D14">
        <v>0.16760554999999999</v>
      </c>
      <c r="E14">
        <v>0.42945895000000001</v>
      </c>
      <c r="F14">
        <v>-1.0381807000000001</v>
      </c>
      <c r="G14">
        <v>0.56074416999999999</v>
      </c>
      <c r="H14">
        <v>-4.4981939999999998E-2</v>
      </c>
      <c r="I14">
        <v>-0.63328110000000004</v>
      </c>
      <c r="J14">
        <v>-0.57667506000000002</v>
      </c>
      <c r="K14">
        <v>-1.7369131</v>
      </c>
      <c r="L14">
        <v>-9.5948500000000006E-2</v>
      </c>
      <c r="M14">
        <v>0</v>
      </c>
      <c r="O14">
        <f t="shared" si="0"/>
        <v>1.6776382523557032</v>
      </c>
      <c r="P14">
        <f t="shared" si="1"/>
        <v>1.5536223789609676</v>
      </c>
      <c r="Q14">
        <f t="shared" si="2"/>
        <v>1.1385967575415243</v>
      </c>
      <c r="R14">
        <f t="shared" si="3"/>
        <v>4.1901992002593236</v>
      </c>
      <c r="S14" s="4">
        <f t="shared" si="4"/>
        <v>-0.96435050196132543</v>
      </c>
    </row>
    <row r="15" spans="1:19" x14ac:dyDescent="0.25">
      <c r="A15">
        <v>-1.1180333</v>
      </c>
      <c r="B15">
        <v>-0.22818807999999999</v>
      </c>
      <c r="C15">
        <v>-1.0930594</v>
      </c>
      <c r="D15">
        <v>-0.85789210000000005</v>
      </c>
      <c r="E15">
        <v>1.0113065000000001</v>
      </c>
      <c r="F15">
        <v>0.37031104999999997</v>
      </c>
      <c r="G15">
        <v>0.16934650000000001</v>
      </c>
      <c r="H15">
        <v>2.6365340000000002</v>
      </c>
      <c r="I15">
        <v>2.0705789999999999</v>
      </c>
      <c r="J15">
        <v>-1.0151726000000001</v>
      </c>
      <c r="K15">
        <v>-0.20145108</v>
      </c>
      <c r="L15">
        <v>-9.5948500000000006E-2</v>
      </c>
      <c r="M15">
        <v>1.1216775000000001</v>
      </c>
      <c r="O15">
        <f t="shared" si="0"/>
        <v>1.4872903357079743</v>
      </c>
      <c r="P15">
        <f t="shared" si="1"/>
        <v>1.536054950207657</v>
      </c>
      <c r="Q15" s="4">
        <f t="shared" si="2"/>
        <v>1.0434595841499872</v>
      </c>
      <c r="R15">
        <f t="shared" si="3"/>
        <v>-1.9365398403252918</v>
      </c>
      <c r="S15">
        <f t="shared" si="4"/>
        <v>4.6797590573315597</v>
      </c>
    </row>
    <row r="16" spans="1:19" x14ac:dyDescent="0.25">
      <c r="A16">
        <v>-1.1180333</v>
      </c>
      <c r="B16">
        <v>-0.22818807999999999</v>
      </c>
      <c r="C16">
        <v>-1.0930594</v>
      </c>
      <c r="D16">
        <v>0.16760554999999999</v>
      </c>
      <c r="E16">
        <v>0.67189544000000001</v>
      </c>
      <c r="F16">
        <v>1.9465557</v>
      </c>
      <c r="G16">
        <v>0.68902426999999999</v>
      </c>
      <c r="H16">
        <v>0.23389570000000001</v>
      </c>
      <c r="I16">
        <v>0.34508931999999998</v>
      </c>
      <c r="J16">
        <v>1.3652426</v>
      </c>
      <c r="K16">
        <v>0.53784542999999996</v>
      </c>
      <c r="L16">
        <v>-9.5948500000000006E-2</v>
      </c>
      <c r="M16">
        <v>2.7936160000000001</v>
      </c>
      <c r="O16">
        <f t="shared" si="0"/>
        <v>1.5522266041004285</v>
      </c>
      <c r="P16">
        <f t="shared" si="1"/>
        <v>1.5028990290618065</v>
      </c>
      <c r="Q16">
        <f t="shared" si="2"/>
        <v>1.0248816013252917</v>
      </c>
      <c r="R16" s="4">
        <f t="shared" si="3"/>
        <v>3.0983483427729723</v>
      </c>
      <c r="S16">
        <f t="shared" si="4"/>
        <v>1.8002941452681833</v>
      </c>
    </row>
    <row r="17" spans="1:19" x14ac:dyDescent="0.25">
      <c r="A17">
        <v>0.16936749000000001</v>
      </c>
      <c r="B17">
        <v>-0.22818807999999999</v>
      </c>
      <c r="C17">
        <v>1.1823112</v>
      </c>
      <c r="D17">
        <v>-1.3706408999999999</v>
      </c>
      <c r="E17">
        <v>0.59916449999999999</v>
      </c>
      <c r="F17">
        <v>0.46051782000000002</v>
      </c>
      <c r="G17">
        <v>0.65131890000000003</v>
      </c>
      <c r="H17">
        <v>1.0490766</v>
      </c>
      <c r="I17">
        <v>1.5369225</v>
      </c>
      <c r="J17">
        <v>-0.8898876</v>
      </c>
      <c r="K17">
        <v>-1.5094372</v>
      </c>
      <c r="L17">
        <v>-9.5948500000000006E-2</v>
      </c>
      <c r="M17">
        <v>0</v>
      </c>
      <c r="O17">
        <f t="shared" si="0"/>
        <v>1.9470972146666345</v>
      </c>
      <c r="P17">
        <f t="shared" si="1"/>
        <v>1.5490609379729301</v>
      </c>
      <c r="Q17">
        <f t="shared" si="2"/>
        <v>1.2469256141797531</v>
      </c>
      <c r="R17" s="4">
        <f t="shared" si="3"/>
        <v>-0.24517712941163516</v>
      </c>
      <c r="S17">
        <f t="shared" si="4"/>
        <v>2.8373946172896662</v>
      </c>
    </row>
    <row r="18" spans="1:19" x14ac:dyDescent="0.25">
      <c r="A18">
        <v>1.0276346000000001</v>
      </c>
      <c r="B18">
        <v>0.59130479999999996</v>
      </c>
      <c r="C18">
        <v>-1.0930594</v>
      </c>
      <c r="D18">
        <v>1.1931031999999999</v>
      </c>
      <c r="E18">
        <v>1.2779866</v>
      </c>
      <c r="F18">
        <v>1.0919652</v>
      </c>
      <c r="G18">
        <v>0.47631705000000002</v>
      </c>
      <c r="H18">
        <v>1.1348851</v>
      </c>
      <c r="I18">
        <v>1.4835567000000001</v>
      </c>
      <c r="J18">
        <v>1.1773150999999999</v>
      </c>
      <c r="K18">
        <v>0.53784542999999996</v>
      </c>
      <c r="L18">
        <v>70.351569999999995</v>
      </c>
      <c r="M18">
        <v>2.4697930000000001</v>
      </c>
      <c r="O18" s="4">
        <f t="shared" si="0"/>
        <v>1.7614484343489216</v>
      </c>
      <c r="P18">
        <f t="shared" si="1"/>
        <v>-0.73261231508718416</v>
      </c>
      <c r="Q18">
        <f t="shared" si="2"/>
        <v>1.0044646813875195</v>
      </c>
      <c r="R18">
        <f t="shared" si="3"/>
        <v>30.467018073436506</v>
      </c>
      <c r="S18">
        <f t="shared" si="4"/>
        <v>9.7841161066346487</v>
      </c>
    </row>
    <row r="19" spans="1:19" x14ac:dyDescent="0.25">
      <c r="A19">
        <v>-0.6888997</v>
      </c>
      <c r="B19">
        <v>-0.22818807999999999</v>
      </c>
      <c r="C19">
        <v>-1.0930594</v>
      </c>
      <c r="D19">
        <v>0.16760554999999999</v>
      </c>
      <c r="E19">
        <v>0.23550974</v>
      </c>
      <c r="F19">
        <v>0.99701070000000003</v>
      </c>
      <c r="G19">
        <v>0.59721999999999997</v>
      </c>
      <c r="H19">
        <v>1.0276244000000001</v>
      </c>
      <c r="I19">
        <v>1.394614</v>
      </c>
      <c r="J19">
        <v>-0.38874754</v>
      </c>
      <c r="K19">
        <v>1.3340110000000001</v>
      </c>
      <c r="L19">
        <v>-9.5948500000000006E-2</v>
      </c>
      <c r="M19">
        <v>0.56531379999999998</v>
      </c>
      <c r="O19">
        <f t="shared" si="0"/>
        <v>1.2041446816453092</v>
      </c>
      <c r="P19">
        <f t="shared" si="1"/>
        <v>1.510490787721372</v>
      </c>
      <c r="Q19" s="4">
        <f t="shared" si="2"/>
        <v>1.004490717648064</v>
      </c>
      <c r="R19">
        <f t="shared" si="3"/>
        <v>-2.2557238293556452</v>
      </c>
      <c r="S19">
        <f t="shared" si="4"/>
        <v>3.6651496282005622</v>
      </c>
    </row>
    <row r="20" spans="1:19" x14ac:dyDescent="0.25">
      <c r="A20">
        <v>-0.2597661</v>
      </c>
      <c r="B20">
        <v>-1.0476810000000001</v>
      </c>
      <c r="C20">
        <v>1.1823112</v>
      </c>
      <c r="D20">
        <v>1.1931031999999999</v>
      </c>
      <c r="E20">
        <v>-0.12814501</v>
      </c>
      <c r="F20">
        <v>-0.49694001999999998</v>
      </c>
      <c r="G20">
        <v>0.71812295999999998</v>
      </c>
      <c r="H20">
        <v>-0.5812851</v>
      </c>
      <c r="I20">
        <v>-0.20635584000000001</v>
      </c>
      <c r="J20">
        <v>1.1773150999999999</v>
      </c>
      <c r="K20">
        <v>0.53784542999999996</v>
      </c>
      <c r="L20">
        <v>-9.5948500000000006E-2</v>
      </c>
      <c r="M20">
        <v>0</v>
      </c>
      <c r="O20">
        <f t="shared" si="0"/>
        <v>1.8025566050082589</v>
      </c>
      <c r="P20">
        <f t="shared" si="1"/>
        <v>1.5473778798875788</v>
      </c>
      <c r="Q20">
        <f t="shared" si="2"/>
        <v>1.418256125629479</v>
      </c>
      <c r="R20">
        <f t="shared" si="3"/>
        <v>4.7458989531463143</v>
      </c>
      <c r="S20" s="4">
        <f t="shared" si="4"/>
        <v>-0.11107696347853446</v>
      </c>
    </row>
    <row r="21" spans="1:19" x14ac:dyDescent="0.25">
      <c r="A21">
        <v>-1.1180333</v>
      </c>
      <c r="B21">
        <v>-0.22818807999999999</v>
      </c>
      <c r="C21">
        <v>1.1823112</v>
      </c>
      <c r="D21">
        <v>-0.85789210000000005</v>
      </c>
      <c r="E21">
        <v>-6.6254429999999997</v>
      </c>
      <c r="F21">
        <v>-0.65361493999999998</v>
      </c>
      <c r="G21">
        <v>0.45213646000000002</v>
      </c>
      <c r="H21">
        <v>-1.7611520000000001</v>
      </c>
      <c r="I21">
        <v>0.64749473000000002</v>
      </c>
      <c r="J21">
        <v>-0.38874754</v>
      </c>
      <c r="K21">
        <v>-0.20145108</v>
      </c>
      <c r="L21">
        <v>-9.5948500000000006E-2</v>
      </c>
      <c r="M21">
        <v>2.5112239999999999</v>
      </c>
      <c r="O21">
        <f t="shared" si="0"/>
        <v>1.7880707475155444</v>
      </c>
      <c r="P21">
        <f t="shared" si="1"/>
        <v>1.5303798708756393</v>
      </c>
      <c r="Q21">
        <f t="shared" si="2"/>
        <v>1.3384814335994546</v>
      </c>
      <c r="R21">
        <f t="shared" si="3"/>
        <v>6.712981110205928</v>
      </c>
      <c r="S21" s="4">
        <f t="shared" si="4"/>
        <v>1.9947174788246576</v>
      </c>
    </row>
    <row r="22" spans="1:19" x14ac:dyDescent="0.25">
      <c r="A22">
        <v>1.4567683</v>
      </c>
      <c r="B22">
        <v>1.4107976</v>
      </c>
      <c r="C22">
        <v>-0.86552229999999997</v>
      </c>
      <c r="D22">
        <v>1.7058519999999999</v>
      </c>
      <c r="E22">
        <v>-1.6554949000000001</v>
      </c>
      <c r="F22">
        <v>-1.3341221999999999</v>
      </c>
      <c r="G22">
        <v>-0.82123804</v>
      </c>
      <c r="H22">
        <v>-0.79580635</v>
      </c>
      <c r="I22">
        <v>-2.4655022999999998</v>
      </c>
      <c r="J22">
        <v>1.0520301000000001</v>
      </c>
      <c r="K22">
        <v>2.3007833999999998</v>
      </c>
      <c r="L22">
        <v>-9.5948500000000006E-2</v>
      </c>
      <c r="M22">
        <v>2.5006157999999998</v>
      </c>
      <c r="O22">
        <f t="shared" si="0"/>
        <v>1.172471555313271</v>
      </c>
      <c r="P22" s="4">
        <f t="shared" si="1"/>
        <v>1.5459778313912793</v>
      </c>
      <c r="Q22">
        <f t="shared" si="2"/>
        <v>0.94542294109690883</v>
      </c>
      <c r="R22">
        <f t="shared" si="3"/>
        <v>3.554113245798618E-2</v>
      </c>
      <c r="S22">
        <f t="shared" si="4"/>
        <v>-1.2173259132506251</v>
      </c>
    </row>
    <row r="23" spans="1:19" x14ac:dyDescent="0.25">
      <c r="A23">
        <v>0.59850110000000001</v>
      </c>
      <c r="B23">
        <v>-1.0476810000000001</v>
      </c>
      <c r="C23">
        <v>1.1823112</v>
      </c>
      <c r="D23">
        <v>-0.85789210000000005</v>
      </c>
      <c r="E23">
        <v>0.23550974</v>
      </c>
      <c r="F23">
        <v>-0.53175669999999997</v>
      </c>
      <c r="G23">
        <v>0.69394237000000003</v>
      </c>
      <c r="H23">
        <v>4.0826567000000001E-2</v>
      </c>
      <c r="I23">
        <v>0.398455</v>
      </c>
      <c r="J23">
        <v>-0.76460260000000002</v>
      </c>
      <c r="K23">
        <v>-0.71327174000000004</v>
      </c>
      <c r="L23">
        <v>-9.5948500000000006E-2</v>
      </c>
      <c r="M23">
        <v>0</v>
      </c>
      <c r="O23">
        <f t="shared" si="0"/>
        <v>1.715089288249229</v>
      </c>
      <c r="P23">
        <f t="shared" si="1"/>
        <v>1.5410170568095305</v>
      </c>
      <c r="Q23">
        <f t="shared" si="2"/>
        <v>1.5636211958854433</v>
      </c>
      <c r="R23">
        <f t="shared" si="3"/>
        <v>1.4586081494645882</v>
      </c>
      <c r="S23" s="4">
        <f t="shared" si="4"/>
        <v>0.99226999310784036</v>
      </c>
    </row>
    <row r="24" spans="1:19" x14ac:dyDescent="0.25">
      <c r="A24">
        <v>-1.5471668000000001</v>
      </c>
      <c r="B24">
        <v>-1.8671738</v>
      </c>
      <c r="C24">
        <v>-1.0930594</v>
      </c>
      <c r="D24">
        <v>-1.3706408999999999</v>
      </c>
      <c r="E24">
        <v>4.156054E-2</v>
      </c>
      <c r="F24">
        <v>0.8672396</v>
      </c>
      <c r="G24">
        <v>0.80992719999999996</v>
      </c>
      <c r="H24">
        <v>-0.40966809999999998</v>
      </c>
      <c r="I24">
        <v>-8.1835959999999999E-2</v>
      </c>
      <c r="J24">
        <v>1.8037401</v>
      </c>
      <c r="K24">
        <v>2.5851280000000001</v>
      </c>
      <c r="L24">
        <v>-9.5948500000000006E-2</v>
      </c>
      <c r="M24">
        <v>0</v>
      </c>
      <c r="O24">
        <f t="shared" si="0"/>
        <v>1.4969573900266253</v>
      </c>
      <c r="P24">
        <f t="shared" si="1"/>
        <v>1.486926787223307</v>
      </c>
      <c r="Q24" s="4">
        <f t="shared" si="2"/>
        <v>1.2375507201586293</v>
      </c>
      <c r="R24">
        <f t="shared" si="3"/>
        <v>9.2826592969416932</v>
      </c>
      <c r="S24">
        <f t="shared" si="4"/>
        <v>3.5068939087837796</v>
      </c>
    </row>
    <row r="25" spans="1:19" x14ac:dyDescent="0.25">
      <c r="A25">
        <v>-1.1180333</v>
      </c>
      <c r="B25">
        <v>0.59130479999999996</v>
      </c>
      <c r="C25">
        <v>-1.0930594</v>
      </c>
      <c r="D25">
        <v>-1.3706408999999999</v>
      </c>
      <c r="E25">
        <v>0.74462640000000002</v>
      </c>
      <c r="F25">
        <v>0.37347617999999999</v>
      </c>
      <c r="G25">
        <v>0.13000181</v>
      </c>
      <c r="H25">
        <v>1.3065020000000001</v>
      </c>
      <c r="I25">
        <v>0.80759174</v>
      </c>
      <c r="J25">
        <v>-0.51403253999999998</v>
      </c>
      <c r="K25">
        <v>0.82219030000000004</v>
      </c>
      <c r="L25">
        <v>-9.5948500000000006E-2</v>
      </c>
      <c r="M25">
        <v>2.3997118</v>
      </c>
      <c r="O25">
        <f t="shared" si="0"/>
        <v>1.3863177967789317</v>
      </c>
      <c r="P25">
        <f t="shared" si="1"/>
        <v>1.5124571373900317</v>
      </c>
      <c r="Q25">
        <f t="shared" si="2"/>
        <v>1.0793826509054758</v>
      </c>
      <c r="R25">
        <f t="shared" si="3"/>
        <v>0.9014220939463975</v>
      </c>
      <c r="S25" s="4">
        <f t="shared" si="4"/>
        <v>3.2374672756038199</v>
      </c>
    </row>
    <row r="26" spans="1:19" x14ac:dyDescent="0.25">
      <c r="A26">
        <v>0.59850110000000001</v>
      </c>
      <c r="B26">
        <v>-1.0476810000000001</v>
      </c>
      <c r="C26">
        <v>0.72723705000000005</v>
      </c>
      <c r="D26">
        <v>1.1931031999999999</v>
      </c>
      <c r="E26">
        <v>-2.7464591999999999</v>
      </c>
      <c r="F26">
        <v>-1.7266007999999999</v>
      </c>
      <c r="G26">
        <v>-1.8372326000000001</v>
      </c>
      <c r="H26">
        <v>-1.6967957</v>
      </c>
      <c r="I26">
        <v>-1.2736689999999999</v>
      </c>
      <c r="J26">
        <v>-0.82724509999999996</v>
      </c>
      <c r="K26">
        <v>0.31036960000000002</v>
      </c>
      <c r="L26">
        <v>-9.5948500000000006E-2</v>
      </c>
      <c r="M26">
        <v>0</v>
      </c>
      <c r="O26">
        <f t="shared" si="0"/>
        <v>0.81582854143040162</v>
      </c>
      <c r="P26">
        <f t="shared" si="1"/>
        <v>1.524069951781962</v>
      </c>
      <c r="Q26">
        <f t="shared" si="2"/>
        <v>1.4176396939417824</v>
      </c>
      <c r="R26">
        <f t="shared" si="3"/>
        <v>0.91386908988535609</v>
      </c>
      <c r="S26" s="4">
        <f t="shared" si="4"/>
        <v>0.61685711233546958</v>
      </c>
    </row>
    <row r="27" spans="1:19" x14ac:dyDescent="0.25">
      <c r="A27">
        <v>1.4567683</v>
      </c>
      <c r="B27">
        <v>1.4107976</v>
      </c>
      <c r="C27">
        <v>4.4625909999999998E-2</v>
      </c>
      <c r="D27">
        <v>1.7058519999999999</v>
      </c>
      <c r="E27">
        <v>9.0047844000000002E-2</v>
      </c>
      <c r="F27">
        <v>0.56496774999999999</v>
      </c>
      <c r="G27">
        <v>-0.72861403000000002</v>
      </c>
      <c r="H27">
        <v>0.79165099999999999</v>
      </c>
      <c r="I27">
        <v>0.11383813</v>
      </c>
      <c r="J27">
        <v>-7.5535030000000003E-2</v>
      </c>
      <c r="K27">
        <v>0.53784542999999996</v>
      </c>
      <c r="L27">
        <v>-9.5948500000000006E-2</v>
      </c>
      <c r="M27">
        <v>0</v>
      </c>
      <c r="O27">
        <f t="shared" si="0"/>
        <v>1.267810797400897</v>
      </c>
      <c r="P27">
        <f t="shared" si="1"/>
        <v>1.5426796326981222</v>
      </c>
      <c r="Q27" s="4">
        <f t="shared" si="2"/>
        <v>0.90826352652286002</v>
      </c>
      <c r="R27">
        <f t="shared" si="3"/>
        <v>-6.9711673031408328</v>
      </c>
      <c r="S27">
        <f t="shared" si="4"/>
        <v>1.5946722142817193</v>
      </c>
    </row>
    <row r="28" spans="1:19" x14ac:dyDescent="0.25">
      <c r="A28">
        <v>0.59850110000000001</v>
      </c>
      <c r="B28">
        <v>-0.22818807999999999</v>
      </c>
      <c r="C28">
        <v>-1.3205965</v>
      </c>
      <c r="D28">
        <v>-0.34514329999999999</v>
      </c>
      <c r="E28">
        <v>-1.097891</v>
      </c>
      <c r="F28">
        <v>-1.3404524</v>
      </c>
      <c r="G28">
        <v>-1.8765774</v>
      </c>
      <c r="H28">
        <v>-0.83871059999999997</v>
      </c>
      <c r="I28">
        <v>-1.718383</v>
      </c>
      <c r="J28">
        <v>-1.2892526E-2</v>
      </c>
      <c r="K28">
        <v>0.31036960000000002</v>
      </c>
      <c r="L28">
        <v>-9.5948500000000006E-2</v>
      </c>
      <c r="M28">
        <v>0</v>
      </c>
      <c r="O28">
        <f t="shared" si="0"/>
        <v>1.0953111575223664</v>
      </c>
      <c r="P28">
        <f t="shared" si="1"/>
        <v>1.5163301521258747</v>
      </c>
      <c r="Q28">
        <f t="shared" si="2"/>
        <v>1.1307547152978321</v>
      </c>
      <c r="R28">
        <f t="shared" si="3"/>
        <v>3.0318982206533427</v>
      </c>
      <c r="S28" s="4">
        <f t="shared" si="4"/>
        <v>-5.225873554118543E-2</v>
      </c>
    </row>
    <row r="29" spans="1:19" x14ac:dyDescent="0.25">
      <c r="A29">
        <v>-0.6888997</v>
      </c>
      <c r="B29">
        <v>-0.22818807999999999</v>
      </c>
      <c r="C29">
        <v>1.1823112</v>
      </c>
      <c r="D29">
        <v>0.16760554999999999</v>
      </c>
      <c r="E29">
        <v>-7.9657699999999998E-2</v>
      </c>
      <c r="F29">
        <v>-0.24372804000000001</v>
      </c>
      <c r="G29">
        <v>0.80132055000000002</v>
      </c>
      <c r="H29">
        <v>0.51277333000000003</v>
      </c>
      <c r="I29">
        <v>0.29172366999999999</v>
      </c>
      <c r="J29">
        <v>0.67617506000000005</v>
      </c>
      <c r="K29">
        <v>0.82219030000000004</v>
      </c>
      <c r="L29">
        <v>-9.5948500000000006E-2</v>
      </c>
      <c r="M29">
        <v>3.2422016</v>
      </c>
      <c r="O29">
        <f t="shared" si="0"/>
        <v>1.8086836577901282</v>
      </c>
      <c r="P29">
        <f t="shared" si="1"/>
        <v>1.5515518963253203</v>
      </c>
      <c r="Q29">
        <f t="shared" si="2"/>
        <v>1.1826082095050816</v>
      </c>
      <c r="R29" s="4">
        <f t="shared" si="3"/>
        <v>3.7690743395534936</v>
      </c>
      <c r="S29">
        <f t="shared" si="4"/>
        <v>1.252944358331884</v>
      </c>
    </row>
    <row r="30" spans="1:19" x14ac:dyDescent="0.25">
      <c r="A30">
        <v>-1.1180333</v>
      </c>
      <c r="B30">
        <v>-0.22818807999999999</v>
      </c>
      <c r="C30">
        <v>-1.0930594</v>
      </c>
      <c r="D30">
        <v>0.68035436000000005</v>
      </c>
      <c r="E30">
        <v>0.18702242999999999</v>
      </c>
      <c r="F30">
        <v>2.1570382000000001</v>
      </c>
      <c r="G30">
        <v>0.81484529999999999</v>
      </c>
      <c r="H30">
        <v>-0.5812851</v>
      </c>
      <c r="I30">
        <v>-0.41981849999999998</v>
      </c>
      <c r="J30">
        <v>0.92674506000000001</v>
      </c>
      <c r="K30">
        <v>-0.71327174000000004</v>
      </c>
      <c r="L30">
        <v>-9.5948500000000006E-2</v>
      </c>
      <c r="M30">
        <v>0</v>
      </c>
      <c r="O30">
        <f t="shared" si="0"/>
        <v>1.3520721748457143</v>
      </c>
      <c r="P30">
        <f t="shared" si="1"/>
        <v>1.4960627369562651</v>
      </c>
      <c r="Q30">
        <f t="shared" si="2"/>
        <v>0.97714906180621375</v>
      </c>
      <c r="R30">
        <f t="shared" si="3"/>
        <v>3.0298822925014566</v>
      </c>
      <c r="S30" s="4">
        <f t="shared" si="4"/>
        <v>0.12056355721242706</v>
      </c>
    </row>
    <row r="31" spans="1:19" x14ac:dyDescent="0.25">
      <c r="A31">
        <v>-0.2597661</v>
      </c>
      <c r="B31">
        <v>-0.22818807999999999</v>
      </c>
      <c r="C31">
        <v>1.1823112</v>
      </c>
      <c r="D31">
        <v>0.16760554999999999</v>
      </c>
      <c r="E31">
        <v>-0.27360689999999999</v>
      </c>
      <c r="F31">
        <v>-0.34976056</v>
      </c>
      <c r="G31">
        <v>0.61238409999999999</v>
      </c>
      <c r="H31">
        <v>-0.90306699999999995</v>
      </c>
      <c r="I31">
        <v>-0.20635584000000001</v>
      </c>
      <c r="J31">
        <v>1.2399576000000001</v>
      </c>
      <c r="K31">
        <v>-1.5094372</v>
      </c>
      <c r="L31">
        <v>-9.5948500000000006E-2</v>
      </c>
      <c r="M31">
        <v>0</v>
      </c>
      <c r="O31">
        <f t="shared" si="0"/>
        <v>2.2804916859820668</v>
      </c>
      <c r="P31">
        <f t="shared" si="1"/>
        <v>1.5558150611936954</v>
      </c>
      <c r="Q31">
        <f t="shared" si="2"/>
        <v>1.2362912196296671</v>
      </c>
      <c r="R31">
        <f t="shared" si="3"/>
        <v>6.8888923560531579</v>
      </c>
      <c r="S31" s="4">
        <f t="shared" si="4"/>
        <v>-0.87952046740635925</v>
      </c>
    </row>
    <row r="32" spans="1:19" x14ac:dyDescent="0.25">
      <c r="A32">
        <v>-0.6888997</v>
      </c>
      <c r="B32">
        <v>-0.22818807999999999</v>
      </c>
      <c r="C32">
        <v>-0.18291114</v>
      </c>
      <c r="D32">
        <v>1.7058519999999999</v>
      </c>
      <c r="E32">
        <v>0.25975337999999998</v>
      </c>
      <c r="F32">
        <v>0.34024211999999998</v>
      </c>
      <c r="G32">
        <v>-0.14131261000000001</v>
      </c>
      <c r="H32">
        <v>-0.21659896000000001</v>
      </c>
      <c r="I32">
        <v>-0.84674375999999996</v>
      </c>
      <c r="J32">
        <v>0.86410253999999997</v>
      </c>
      <c r="K32">
        <v>2.6024780000000001E-2</v>
      </c>
      <c r="L32">
        <v>-9.5948500000000006E-2</v>
      </c>
      <c r="M32">
        <v>0</v>
      </c>
      <c r="O32">
        <f t="shared" si="0"/>
        <v>1.2830847023191501</v>
      </c>
      <c r="P32">
        <f t="shared" si="1"/>
        <v>1.5297821689498943</v>
      </c>
      <c r="Q32">
        <f t="shared" si="2"/>
        <v>0.9529853963350714</v>
      </c>
      <c r="R32">
        <f t="shared" si="3"/>
        <v>2.1461022503620146</v>
      </c>
      <c r="S32" s="4">
        <f t="shared" si="4"/>
        <v>3.1477159098876051E-2</v>
      </c>
    </row>
    <row r="33" spans="1:19" x14ac:dyDescent="0.25">
      <c r="A33">
        <v>-0.6888997</v>
      </c>
      <c r="B33">
        <v>-0.22818807999999999</v>
      </c>
      <c r="C33">
        <v>-1.0930594</v>
      </c>
      <c r="D33">
        <v>1.1931031999999999</v>
      </c>
      <c r="E33">
        <v>1.2779866</v>
      </c>
      <c r="F33">
        <v>1.0919652</v>
      </c>
      <c r="G33">
        <v>0.47631705000000002</v>
      </c>
      <c r="H33">
        <v>1.1348851</v>
      </c>
      <c r="I33">
        <v>2.3729844</v>
      </c>
      <c r="J33">
        <v>-1.0778152000000001</v>
      </c>
      <c r="K33">
        <v>-0.99761659999999996</v>
      </c>
      <c r="L33">
        <v>-9.5948500000000006E-2</v>
      </c>
      <c r="M33">
        <v>2.752386</v>
      </c>
      <c r="O33">
        <f t="shared" si="0"/>
        <v>1.373086358741487</v>
      </c>
      <c r="P33">
        <f t="shared" si="1"/>
        <v>1.5267649737420872</v>
      </c>
      <c r="Q33">
        <f t="shared" si="2"/>
        <v>0.88970615397638131</v>
      </c>
      <c r="R33">
        <f t="shared" si="3"/>
        <v>-5.2372092358027178</v>
      </c>
      <c r="S33" s="4">
        <f t="shared" si="4"/>
        <v>3.6676569993235639</v>
      </c>
    </row>
    <row r="34" spans="1:19" x14ac:dyDescent="0.25">
      <c r="A34">
        <v>0.59850110000000001</v>
      </c>
      <c r="B34">
        <v>0.59130479999999996</v>
      </c>
      <c r="C34">
        <v>0.27216297</v>
      </c>
      <c r="D34">
        <v>1.7058519999999999</v>
      </c>
      <c r="E34">
        <v>0.62340814</v>
      </c>
      <c r="F34">
        <v>-1.5002925</v>
      </c>
      <c r="G34">
        <v>-2.1585475999999999</v>
      </c>
      <c r="H34">
        <v>0.19099145000000001</v>
      </c>
      <c r="I34">
        <v>-0.91789799999999999</v>
      </c>
      <c r="J34">
        <v>-1.2657427000000001</v>
      </c>
      <c r="K34">
        <v>1.0496662000000001</v>
      </c>
      <c r="L34">
        <v>-9.5948500000000006E-2</v>
      </c>
      <c r="M34">
        <v>0</v>
      </c>
      <c r="O34">
        <f t="shared" ref="O34:O65" si="5">0.0707*A34 + 0.3513*J34 - 0.148*K34 - 0.0254*L34 + 0.0945*B34 + 0.0838*C34 - 0.1098*D34 - 0.0029*E34 - 0.1695*F34 + 0.121*G34 - 0.0023*H34 + 0.2005*I34 + 0.0034*EXP(1.4292*E34) - 0.0606*SIN(1*L34 + 1.4053) + 1.3522*SIN(2.9197*L34 - 7.644) + 0.0425*SIN(1.9347*C34 - 2.5505) - 0.0088*SIN(3.5081*C34 - 7.7607) + 2.9036</f>
        <v>0.6136140643662924</v>
      </c>
      <c r="P34">
        <f t="shared" ref="P34:P65" si="6">0.004*A34 + 0.0089*J34 - 0.0063*K34 - 0.0327*L34 + 0.0053*B34 + 0.0082*C34 + 0.004*D34 - 0.0011*E34 - 0.0133*F34 + 0.0044*G34 + 0.0111*H34 - 0.0003*I34 - 0.0024*SQRT(1 - 0.8455*C34) + 0.0016*(-0.7809*I34 - 1)^2 + 0.0007*EXP(0.7704*K34) - 0.0167*SIN(2.8038*L34 + 7.9002) - 0.0013*SIN(5.0219*B34 - 0.4098) + 0.0004*SIN(5.0338*B34 + 8.9958) - 0.0011*SIN(0.621*C34 + 1.9102) + 0.0009*SIN(1.1851*C34 + 8.5936) + 0.0008*SIN(9.372*D34 + 9.9998) + 1.5413</f>
        <v>1.5357575040600968</v>
      </c>
      <c r="Q34">
        <f t="shared" ref="Q34:Q65" si="7" xml:space="preserve"> 0.0049*A34 + 0.0177*J34 + 0.0014*K34 - 0.0348*L34 - 0.0318*B34 + 0.0559*C34 - 0.0638*D34 - 0.0014*E34 - 0.0236*F34 + 0.0056*G34 - 0.0317*H34 + 0.013*I34 - 0.001*(-0.743*I34 - 1)^2 - 0.0092*EXP(-0.0775*A34 - 0.0866*J34 + 0.057*K34 - 0.2106*L34 - 0.0888*B34 + 0.1115*C34 + 0.0164*D34 + 0.0019*E34 + 0.0949*F34 - 0.007*G34 - 0.0252*H34 - 0.025*I34) - 0.0327*SIN(0.56*A34 - 4.419) + 0.2232*SIN(2.8002*L34 + 7.9889) - 0.0678*SIN(3.0034*L34 - 5.2083) - 1.163*SIN(8.608*L34 + 9.0216) - 0.0928*SIN(8.6081*L34 + 9.0049) - 0.2564*SIN(8.6081*L34 + 9.0198) - 0.0489*SIN(0.8118*D34 + 5.3891) - 0.0363*SIN(0.4099*G34 + 5.2175) - 0.0005*TAN(2.6158*B34 - 1.9768) - 0.0001*TAN(5.1313*B34 - 2.4811) - 0.0016*TAN(9.4394*B34 + 2.0395) - 0*TAN(9.451*B34 + 2.052) + 2.3482</f>
        <v>0.94129045955659296</v>
      </c>
      <c r="R34">
        <f t="shared" ref="R34:R65" si="8">-1.8317*A34 + 2.233*J34 - 0.4713*K34 + 0.2053*L34 - 0.604*B34 + 0.1096*C34 - 1.4373*D34 - 0.1075*E34 - 1.1536*F34 + 0.3987*G34 - 0.7942*H34 - 0.7312*I34 + 0.0589*EXP(1.6525*C34) + 0.0438*SIN(0.8371*A34 + 5.423) + 10.4162*SIN(2.8042*L34 + 4.687) - 2.371*SIN(8.5999*L34 + 3.0151) - 1.4228*SIN(8.604*L34 + 6.0738) + 0.0348*SIN(0.7277*H34 - 1.031) + 11.7139</f>
        <v>-4.8052883776981172</v>
      </c>
      <c r="S34" s="4">
        <f t="shared" ref="S34:S65" si="9">0.0614*A34 - 0.2912*J34 + 0.3615*K34 + 0.0998*L34 - 0.3538*B34 - 0.0546*C34 - 0.2401*D34 - 0.0352*E34 + 0.0743*F34 - 0.6423*G34 + 0.1956*H34 + 0.7758*I34 - 0.057*(-B34 - 0.9558)^2 + 0.0043*EXP(4.2598*C34) + 0.8412*SIN(1.4244*A34 - 2.0027) - 0.2064*SIN(0.6031*J34 - 4.407) + 0.225*SIN(3.0037*L34 - 2.4175) - 0.024*SIN(1.612*C34 - 9.986) + 0.1088*SIN(1.9462*C34 - 1.19519996643066) + 0.0802*SIN(2.8134*D34 + 3.398) - 0.1945*SIN(1.1774*F34 + 8.3903) - 0.7165*SIN(1.5963*F34 - 3.2053) - 0.1861*SIN(1.272*I34 - 9.988) + 1.6536</f>
        <v>0.50722457406141608</v>
      </c>
    </row>
    <row r="35" spans="1:19" x14ac:dyDescent="0.25">
      <c r="A35">
        <v>-1.5471668000000001</v>
      </c>
      <c r="B35">
        <v>-1.8671738</v>
      </c>
      <c r="C35">
        <v>-1.0930594</v>
      </c>
      <c r="D35">
        <v>0.68035436000000005</v>
      </c>
      <c r="E35">
        <v>0.21126608999999999</v>
      </c>
      <c r="F35">
        <v>3.4805152999999998E-2</v>
      </c>
      <c r="G35">
        <v>0.43574283000000003</v>
      </c>
      <c r="H35">
        <v>-0.5812851</v>
      </c>
      <c r="I35">
        <v>0.22056945</v>
      </c>
      <c r="J35">
        <v>4.9749979999999999E-2</v>
      </c>
      <c r="K35">
        <v>-0.20145108</v>
      </c>
      <c r="L35">
        <v>-9.5948500000000006E-2</v>
      </c>
      <c r="M35">
        <v>0</v>
      </c>
      <c r="O35">
        <f t="shared" si="5"/>
        <v>1.2253416392907526</v>
      </c>
      <c r="P35">
        <f t="shared" si="6"/>
        <v>1.5003228763541474</v>
      </c>
      <c r="Q35" s="4">
        <f t="shared" si="7"/>
        <v>1.0744591028955273</v>
      </c>
      <c r="R35">
        <f t="shared" si="8"/>
        <v>4.4386893962191838</v>
      </c>
      <c r="S35">
        <f t="shared" si="9"/>
        <v>1.905096161560718</v>
      </c>
    </row>
    <row r="36" spans="1:19" x14ac:dyDescent="0.25">
      <c r="A36">
        <v>0.59850110000000001</v>
      </c>
      <c r="B36">
        <v>-0.22818807999999999</v>
      </c>
      <c r="C36">
        <v>0.27216297</v>
      </c>
      <c r="D36">
        <v>-0.34514329999999999</v>
      </c>
      <c r="E36">
        <v>-6.9267570000000004E-3</v>
      </c>
      <c r="F36">
        <v>-1.1109791</v>
      </c>
      <c r="G36">
        <v>-1.9081349999999999</v>
      </c>
      <c r="H36">
        <v>-0.23805107</v>
      </c>
      <c r="I36">
        <v>-1.0068406999999999</v>
      </c>
      <c r="J36">
        <v>-0.13817752999999999</v>
      </c>
      <c r="K36">
        <v>-1.7369131</v>
      </c>
      <c r="L36">
        <v>-9.5948500000000006E-2</v>
      </c>
      <c r="M36">
        <v>2.1282318</v>
      </c>
      <c r="O36">
        <f t="shared" si="5"/>
        <v>1.5142707032315499</v>
      </c>
      <c r="P36">
        <f t="shared" si="6"/>
        <v>1.5436453476329861</v>
      </c>
      <c r="Q36">
        <f t="shared" si="7"/>
        <v>1.1971905292211862</v>
      </c>
      <c r="R36" s="4">
        <f t="shared" si="8"/>
        <v>2.5876159351425692</v>
      </c>
      <c r="S36">
        <f t="shared" si="9"/>
        <v>-0.55058926044747691</v>
      </c>
    </row>
    <row r="37" spans="1:19" x14ac:dyDescent="0.25">
      <c r="A37">
        <v>1.0276346000000001</v>
      </c>
      <c r="B37">
        <v>1.4107976</v>
      </c>
      <c r="C37">
        <v>-0.18291114</v>
      </c>
      <c r="D37">
        <v>1.7058519999999999</v>
      </c>
      <c r="E37">
        <v>9.0047844000000002E-2</v>
      </c>
      <c r="F37">
        <v>1.1236166999999999</v>
      </c>
      <c r="G37">
        <v>-0.48066056000000001</v>
      </c>
      <c r="H37">
        <v>0.74874675000000002</v>
      </c>
      <c r="I37">
        <v>-1.1313607000000001</v>
      </c>
      <c r="J37">
        <v>2.8686628000000001</v>
      </c>
      <c r="K37">
        <v>2.0733074999999999</v>
      </c>
      <c r="L37">
        <v>2.1055364999999999</v>
      </c>
      <c r="M37">
        <v>0</v>
      </c>
      <c r="O37">
        <f t="shared" si="5"/>
        <v>1.7517349540794327</v>
      </c>
      <c r="P37">
        <f t="shared" si="6"/>
        <v>1.4781049456374185</v>
      </c>
      <c r="Q37">
        <f t="shared" si="7"/>
        <v>0.88168462761863076</v>
      </c>
      <c r="R37">
        <f t="shared" si="8"/>
        <v>0.895343103077618</v>
      </c>
      <c r="S37" s="4">
        <f t="shared" si="9"/>
        <v>0.3300197731821084</v>
      </c>
    </row>
    <row r="38" spans="1:19" x14ac:dyDescent="0.25">
      <c r="A38">
        <v>-1.1180333</v>
      </c>
      <c r="B38">
        <v>-0.22818807999999999</v>
      </c>
      <c r="C38">
        <v>-1.0930594</v>
      </c>
      <c r="D38">
        <v>1.1931031999999999</v>
      </c>
      <c r="E38">
        <v>0.96281919999999999</v>
      </c>
      <c r="F38">
        <v>-6.0149340000000003E-2</v>
      </c>
      <c r="G38">
        <v>0.37754547999999999</v>
      </c>
      <c r="H38">
        <v>1.7140924</v>
      </c>
      <c r="I38">
        <v>0.20278089999999999</v>
      </c>
      <c r="J38">
        <v>-0.26346254000000002</v>
      </c>
      <c r="K38">
        <v>2.6024780000000001E-2</v>
      </c>
      <c r="L38">
        <v>-9.5948500000000006E-2</v>
      </c>
      <c r="M38">
        <v>0</v>
      </c>
      <c r="O38">
        <f t="shared" si="5"/>
        <v>1.2174582503014169</v>
      </c>
      <c r="P38">
        <f t="shared" si="6"/>
        <v>1.5376752045442383</v>
      </c>
      <c r="Q38">
        <f t="shared" si="7"/>
        <v>0.89329844029183336</v>
      </c>
      <c r="R38" s="4">
        <f t="shared" si="8"/>
        <v>-0.64945804468549717</v>
      </c>
      <c r="S38">
        <f t="shared" si="9"/>
        <v>1.4612982658847233</v>
      </c>
    </row>
    <row r="39" spans="1:19" x14ac:dyDescent="0.25">
      <c r="A39">
        <v>1.4567683</v>
      </c>
      <c r="B39">
        <v>1.4107976</v>
      </c>
      <c r="C39">
        <v>-1.0930594</v>
      </c>
      <c r="D39">
        <v>-0.34514329999999999</v>
      </c>
      <c r="E39">
        <v>0.33248432999999999</v>
      </c>
      <c r="F39">
        <v>-0.47953170000000001</v>
      </c>
      <c r="G39">
        <v>-0.30401929999999999</v>
      </c>
      <c r="H39">
        <v>0.62003399999999997</v>
      </c>
      <c r="I39">
        <v>0.20278089999999999</v>
      </c>
      <c r="J39">
        <v>-0.63931760000000004</v>
      </c>
      <c r="K39">
        <v>0.31036960000000002</v>
      </c>
      <c r="L39">
        <v>-9.5948500000000006E-2</v>
      </c>
      <c r="M39">
        <v>4.0826089999999997</v>
      </c>
      <c r="O39" s="4">
        <f t="shared" si="5"/>
        <v>1.5341264269316099</v>
      </c>
      <c r="P39">
        <f t="shared" si="6"/>
        <v>1.5341180200872173</v>
      </c>
      <c r="Q39">
        <f t="shared" si="7"/>
        <v>1.0663379413951941</v>
      </c>
      <c r="R39">
        <f t="shared" si="8"/>
        <v>-3.9377647162376714</v>
      </c>
      <c r="S39">
        <f t="shared" si="9"/>
        <v>0.81854913496130555</v>
      </c>
    </row>
    <row r="40" spans="1:19" x14ac:dyDescent="0.25">
      <c r="A40">
        <v>-0.6888997</v>
      </c>
      <c r="B40">
        <v>-0.22818807999999999</v>
      </c>
      <c r="C40">
        <v>-1.0930594</v>
      </c>
      <c r="D40">
        <v>0.68035436000000005</v>
      </c>
      <c r="E40">
        <v>0.5264335</v>
      </c>
      <c r="F40">
        <v>-0.58239909999999995</v>
      </c>
      <c r="G40">
        <v>-0.36221664999999997</v>
      </c>
      <c r="H40">
        <v>-0.28095534</v>
      </c>
      <c r="I40">
        <v>0.11383813</v>
      </c>
      <c r="J40">
        <v>-0.51403253999999998</v>
      </c>
      <c r="K40">
        <v>-0.4857959</v>
      </c>
      <c r="L40">
        <v>-9.5948500000000006E-2</v>
      </c>
      <c r="M40">
        <v>0</v>
      </c>
      <c r="O40">
        <f t="shared" si="5"/>
        <v>1.2726066612190723</v>
      </c>
      <c r="P40">
        <f t="shared" si="6"/>
        <v>1.5188305279463996</v>
      </c>
      <c r="Q40">
        <f t="shared" si="7"/>
        <v>1.0180759232842227</v>
      </c>
      <c r="R40">
        <f t="shared" si="8"/>
        <v>0.94606123343852921</v>
      </c>
      <c r="S40" s="4">
        <f t="shared" si="9"/>
        <v>0.36104989763938145</v>
      </c>
    </row>
    <row r="41" spans="1:19" x14ac:dyDescent="0.25">
      <c r="A41">
        <v>-0.6888997</v>
      </c>
      <c r="B41">
        <v>-0.22818807999999999</v>
      </c>
      <c r="C41">
        <v>0.95477414000000005</v>
      </c>
      <c r="D41">
        <v>0.16760554999999999</v>
      </c>
      <c r="E41">
        <v>0.42945895000000001</v>
      </c>
      <c r="F41">
        <v>-1.0381807000000001</v>
      </c>
      <c r="G41">
        <v>0.56074416999999999</v>
      </c>
      <c r="H41">
        <v>-4.4981939999999998E-2</v>
      </c>
      <c r="I41">
        <v>0.29172366999999999</v>
      </c>
      <c r="J41">
        <v>-1.2657427000000001</v>
      </c>
      <c r="K41">
        <v>0.82219030000000004</v>
      </c>
      <c r="L41">
        <v>-9.5948500000000006E-2</v>
      </c>
      <c r="M41">
        <v>0</v>
      </c>
      <c r="O41">
        <f t="shared" si="5"/>
        <v>1.1951826119687032</v>
      </c>
      <c r="P41">
        <f t="shared" si="6"/>
        <v>1.5342397000364367</v>
      </c>
      <c r="Q41">
        <f t="shared" si="7"/>
        <v>1.1714595046832192</v>
      </c>
      <c r="R41" s="4">
        <f t="shared" si="8"/>
        <v>0.47725728178599702</v>
      </c>
      <c r="S41">
        <f t="shared" si="9"/>
        <v>0.96875215592235164</v>
      </c>
    </row>
    <row r="42" spans="1:19" x14ac:dyDescent="0.25">
      <c r="A42">
        <v>-1.1180333</v>
      </c>
      <c r="B42">
        <v>-0.22818807999999999</v>
      </c>
      <c r="C42">
        <v>1.1823112</v>
      </c>
      <c r="D42">
        <v>0.16760554999999999</v>
      </c>
      <c r="E42">
        <v>-9.801361</v>
      </c>
      <c r="F42">
        <v>-1.0429283</v>
      </c>
      <c r="G42">
        <v>0.62140059999999997</v>
      </c>
      <c r="H42">
        <v>-1.8469605</v>
      </c>
      <c r="I42">
        <v>-1.2025148999999999</v>
      </c>
      <c r="J42">
        <v>2.1169527000000001</v>
      </c>
      <c r="K42">
        <v>1.3340110000000001</v>
      </c>
      <c r="L42">
        <v>-9.5948500000000006E-2</v>
      </c>
      <c r="M42">
        <v>0</v>
      </c>
      <c r="O42">
        <f t="shared" si="5"/>
        <v>2.0534251187295798</v>
      </c>
      <c r="P42">
        <f t="shared" si="6"/>
        <v>1.55245201750316</v>
      </c>
      <c r="Q42">
        <f t="shared" si="7"/>
        <v>1.2992218439328354</v>
      </c>
      <c r="R42">
        <f t="shared" si="8"/>
        <v>12.391000697616066</v>
      </c>
      <c r="S42" s="4">
        <f t="shared" si="9"/>
        <v>-5.2483607039248703E-2</v>
      </c>
    </row>
    <row r="43" spans="1:19" x14ac:dyDescent="0.25">
      <c r="A43">
        <v>-0.2597661</v>
      </c>
      <c r="B43">
        <v>-0.22818807999999999</v>
      </c>
      <c r="C43">
        <v>-0.86552229999999997</v>
      </c>
      <c r="D43">
        <v>-0.85789210000000005</v>
      </c>
      <c r="E43">
        <v>-1.3160837999999999</v>
      </c>
      <c r="F43">
        <v>-1.3721038999999999</v>
      </c>
      <c r="G43">
        <v>-0.84132019999999996</v>
      </c>
      <c r="H43">
        <v>-1.3750138000000001</v>
      </c>
      <c r="I43">
        <v>-2.5544449999999999</v>
      </c>
      <c r="J43">
        <v>-1.4536701000000001</v>
      </c>
      <c r="K43">
        <v>2.5851280000000001</v>
      </c>
      <c r="L43">
        <v>-9.5948500000000006E-2</v>
      </c>
      <c r="M43">
        <v>2.3767645000000002</v>
      </c>
      <c r="O43">
        <f t="shared" si="5"/>
        <v>0.24211409555428354</v>
      </c>
      <c r="P43">
        <f t="shared" si="6"/>
        <v>1.4934265458006697</v>
      </c>
      <c r="Q43">
        <f t="shared" si="7"/>
        <v>1.1697338285878069</v>
      </c>
      <c r="R43" s="4">
        <f t="shared" si="8"/>
        <v>2.5992796171910744</v>
      </c>
      <c r="S43">
        <f t="shared" si="9"/>
        <v>0.15493252408173519</v>
      </c>
    </row>
    <row r="44" spans="1:19" x14ac:dyDescent="0.25">
      <c r="A44">
        <v>-0.2597661</v>
      </c>
      <c r="B44">
        <v>-0.22818807999999999</v>
      </c>
      <c r="C44">
        <v>1.1823112</v>
      </c>
      <c r="D44">
        <v>-0.34514329999999999</v>
      </c>
      <c r="E44">
        <v>9.0047844000000002E-2</v>
      </c>
      <c r="F44">
        <v>0.19464523</v>
      </c>
      <c r="G44">
        <v>0.9849291</v>
      </c>
      <c r="H44">
        <v>-0.10933832</v>
      </c>
      <c r="I44">
        <v>-0.33087571999999998</v>
      </c>
      <c r="J44">
        <v>-0.20082004000000001</v>
      </c>
      <c r="K44">
        <v>-0.99761659999999996</v>
      </c>
      <c r="L44">
        <v>-9.5948500000000006E-2</v>
      </c>
      <c r="M44">
        <v>2.5030739999999998</v>
      </c>
      <c r="O44">
        <f t="shared" si="5"/>
        <v>1.681418998175185</v>
      </c>
      <c r="P44">
        <f t="shared" si="6"/>
        <v>1.5414650094573279</v>
      </c>
      <c r="Q44">
        <f t="shared" si="7"/>
        <v>1.2119267257684525</v>
      </c>
      <c r="R44" s="4">
        <f t="shared" si="8"/>
        <v>3.1128542009408786</v>
      </c>
      <c r="S44">
        <f t="shared" si="9"/>
        <v>0.32755916222190162</v>
      </c>
    </row>
    <row r="45" spans="1:19" x14ac:dyDescent="0.25">
      <c r="A45">
        <v>1.4567683</v>
      </c>
      <c r="B45">
        <v>1.4107976</v>
      </c>
      <c r="C45">
        <v>-1.0930594</v>
      </c>
      <c r="D45">
        <v>-0.34514329999999999</v>
      </c>
      <c r="E45">
        <v>0.81735729999999995</v>
      </c>
      <c r="F45">
        <v>8.0699824000000003E-2</v>
      </c>
      <c r="G45">
        <v>0.10705074000000001</v>
      </c>
      <c r="H45">
        <v>0.42696485000000001</v>
      </c>
      <c r="I45">
        <v>0.87874589999999997</v>
      </c>
      <c r="J45">
        <v>-0.20082004000000001</v>
      </c>
      <c r="K45">
        <v>-0.99761659999999996</v>
      </c>
      <c r="L45">
        <v>-9.5948500000000006E-2</v>
      </c>
      <c r="M45">
        <v>2.1994443000000001</v>
      </c>
      <c r="O45" s="4">
        <f t="shared" si="5"/>
        <v>1.9765681640761232</v>
      </c>
      <c r="P45">
        <f t="shared" si="6"/>
        <v>1.5395773218983986</v>
      </c>
      <c r="Q45">
        <f t="shared" si="7"/>
        <v>1.071896575745505</v>
      </c>
      <c r="R45">
        <f t="shared" si="8"/>
        <v>-3.2214780893991897</v>
      </c>
      <c r="S45">
        <f t="shared" si="9"/>
        <v>1.2343245144300461</v>
      </c>
    </row>
    <row r="46" spans="1:19" x14ac:dyDescent="0.25">
      <c r="A46">
        <v>-0.2597661</v>
      </c>
      <c r="B46">
        <v>-0.22818807999999999</v>
      </c>
      <c r="C46">
        <v>0.27216297</v>
      </c>
      <c r="D46">
        <v>-0.85789210000000005</v>
      </c>
      <c r="E46">
        <v>-0.78272355000000005</v>
      </c>
      <c r="F46">
        <v>-0.94797390000000004</v>
      </c>
      <c r="G46">
        <v>-1.849118</v>
      </c>
      <c r="H46">
        <v>-0.86016272999999999</v>
      </c>
      <c r="I46">
        <v>-1.4159774999999999</v>
      </c>
      <c r="J46">
        <v>0.112392485</v>
      </c>
      <c r="K46">
        <v>1.0496662000000001</v>
      </c>
      <c r="L46">
        <v>-9.5948500000000006E-2</v>
      </c>
      <c r="M46">
        <v>0</v>
      </c>
      <c r="O46">
        <f t="shared" si="5"/>
        <v>1.0844072774007167</v>
      </c>
      <c r="P46">
        <f t="shared" si="6"/>
        <v>1.5167003534892831</v>
      </c>
      <c r="Q46">
        <f t="shared" si="7"/>
        <v>1.2420503661605595</v>
      </c>
      <c r="R46">
        <f t="shared" si="8"/>
        <v>4.8296453906019696</v>
      </c>
      <c r="S46" s="4">
        <f t="shared" si="9"/>
        <v>0.22309639054811403</v>
      </c>
    </row>
    <row r="47" spans="1:19" x14ac:dyDescent="0.25">
      <c r="A47">
        <v>-1.1180333</v>
      </c>
      <c r="B47">
        <v>-0.22818807999999999</v>
      </c>
      <c r="C47">
        <v>0.27216297</v>
      </c>
      <c r="D47">
        <v>1.1931031999999999</v>
      </c>
      <c r="E47">
        <v>0.62340814</v>
      </c>
      <c r="F47">
        <v>-1.5366918000000001</v>
      </c>
      <c r="G47">
        <v>-2.1696133999999998</v>
      </c>
      <c r="H47">
        <v>0.51277333000000003</v>
      </c>
      <c r="I47">
        <v>-0.66885823</v>
      </c>
      <c r="J47">
        <v>-1.5789552</v>
      </c>
      <c r="K47">
        <v>2.0733074999999999</v>
      </c>
      <c r="L47">
        <v>-9.5948500000000006E-2</v>
      </c>
      <c r="M47">
        <v>0</v>
      </c>
      <c r="O47" s="4">
        <f t="shared" si="5"/>
        <v>0.26360545482729236</v>
      </c>
      <c r="P47">
        <f t="shared" si="6"/>
        <v>1.5219301986558489</v>
      </c>
      <c r="Q47">
        <f t="shared" si="7"/>
        <v>0.99970003447224909</v>
      </c>
      <c r="R47">
        <f t="shared" si="8"/>
        <v>-2.0325775366749905</v>
      </c>
      <c r="S47">
        <f t="shared" si="9"/>
        <v>2.8016555395380811</v>
      </c>
    </row>
    <row r="48" spans="1:19" x14ac:dyDescent="0.25">
      <c r="A48">
        <v>0.59850110000000001</v>
      </c>
      <c r="B48">
        <v>-1.0476810000000001</v>
      </c>
      <c r="C48">
        <v>1.1823112</v>
      </c>
      <c r="D48">
        <v>-0.85789210000000005</v>
      </c>
      <c r="E48">
        <v>-0.54028699999999996</v>
      </c>
      <c r="F48">
        <v>-0.32127422</v>
      </c>
      <c r="G48">
        <v>0.63492530000000003</v>
      </c>
      <c r="H48">
        <v>-0.40966809999999998</v>
      </c>
      <c r="I48">
        <v>-1.3804004000000001</v>
      </c>
      <c r="J48">
        <v>2.1169527000000001</v>
      </c>
      <c r="K48">
        <v>2.0733074999999999</v>
      </c>
      <c r="L48">
        <v>-9.5948500000000006E-2</v>
      </c>
      <c r="M48">
        <v>0</v>
      </c>
      <c r="O48">
        <f t="shared" si="5"/>
        <v>1.9155837884808631</v>
      </c>
      <c r="P48">
        <f t="shared" si="6"/>
        <v>1.5427476517876428</v>
      </c>
      <c r="Q48">
        <f t="shared" si="7"/>
        <v>1.6079331815804576</v>
      </c>
      <c r="R48">
        <f t="shared" si="8"/>
        <v>8.0508625473451545</v>
      </c>
      <c r="S48" s="4">
        <f t="shared" si="9"/>
        <v>3.1401298208280748E-2</v>
      </c>
    </row>
    <row r="49" spans="1:19" x14ac:dyDescent="0.25">
      <c r="A49">
        <v>-0.2597661</v>
      </c>
      <c r="B49">
        <v>-1.0476810000000001</v>
      </c>
      <c r="C49">
        <v>0.95477414000000005</v>
      </c>
      <c r="D49">
        <v>0.16760554999999999</v>
      </c>
      <c r="E49">
        <v>0.42945895000000001</v>
      </c>
      <c r="F49">
        <v>-1.0381807000000001</v>
      </c>
      <c r="G49">
        <v>0.56074416999999999</v>
      </c>
      <c r="H49">
        <v>-4.4981939999999998E-2</v>
      </c>
      <c r="I49">
        <v>-0.91789799999999999</v>
      </c>
      <c r="J49">
        <v>0.36296250000000002</v>
      </c>
      <c r="K49">
        <v>-0.71327174000000004</v>
      </c>
      <c r="L49">
        <v>-9.5948500000000006E-2</v>
      </c>
      <c r="M49">
        <v>0</v>
      </c>
      <c r="O49">
        <f t="shared" si="5"/>
        <v>1.7049636503937033</v>
      </c>
      <c r="P49">
        <f t="shared" si="6"/>
        <v>1.5502801769844474</v>
      </c>
      <c r="Q49">
        <f t="shared" si="7"/>
        <v>1.4800836395693187</v>
      </c>
      <c r="R49">
        <f t="shared" si="8"/>
        <v>5.4360512386256774</v>
      </c>
      <c r="S49" s="4">
        <f t="shared" si="9"/>
        <v>-1.2476382112862492</v>
      </c>
    </row>
    <row r="50" spans="1:19" x14ac:dyDescent="0.25">
      <c r="A50">
        <v>0.16936749000000001</v>
      </c>
      <c r="B50">
        <v>0.59130479999999996</v>
      </c>
      <c r="C50">
        <v>-1.0930594</v>
      </c>
      <c r="D50">
        <v>0.16760554999999999</v>
      </c>
      <c r="E50">
        <v>0.76887000000000005</v>
      </c>
      <c r="F50">
        <v>-1.0160245999999999</v>
      </c>
      <c r="G50">
        <v>-1.8618231000000001</v>
      </c>
      <c r="H50">
        <v>0.36260846000000002</v>
      </c>
      <c r="I50">
        <v>-0.29529860000000002</v>
      </c>
      <c r="J50">
        <v>2.2422376000000002</v>
      </c>
      <c r="K50">
        <v>0.31036960000000002</v>
      </c>
      <c r="L50">
        <v>-9.5948500000000006E-2</v>
      </c>
      <c r="M50">
        <v>0</v>
      </c>
      <c r="O50">
        <f t="shared" si="5"/>
        <v>2.1282928956467022</v>
      </c>
      <c r="P50">
        <f t="shared" si="6"/>
        <v>1.5468831329343427</v>
      </c>
      <c r="Q50">
        <f t="shared" si="7"/>
        <v>1.0720429471334678</v>
      </c>
      <c r="R50">
        <f t="shared" si="8"/>
        <v>5.083096566957825</v>
      </c>
      <c r="S50" s="4">
        <f t="shared" si="9"/>
        <v>-0.24729852949559317</v>
      </c>
    </row>
    <row r="51" spans="1:19" x14ac:dyDescent="0.25">
      <c r="A51">
        <v>-0.6888997</v>
      </c>
      <c r="B51">
        <v>-1.0476810000000001</v>
      </c>
      <c r="C51">
        <v>1.1823112</v>
      </c>
      <c r="D51">
        <v>-0.34514329999999999</v>
      </c>
      <c r="E51">
        <v>0.33248432999999999</v>
      </c>
      <c r="F51">
        <v>-0.15510383</v>
      </c>
      <c r="G51">
        <v>0.80541896999999996</v>
      </c>
      <c r="H51">
        <v>-0.13079044000000001</v>
      </c>
      <c r="I51">
        <v>0.93211160000000004</v>
      </c>
      <c r="J51">
        <v>-1.0778152000000001</v>
      </c>
      <c r="K51">
        <v>-0.4857959</v>
      </c>
      <c r="L51">
        <v>-9.5948500000000006E-2</v>
      </c>
      <c r="M51">
        <v>2.0255131999999998</v>
      </c>
      <c r="O51">
        <f t="shared" si="5"/>
        <v>1.4815375765046299</v>
      </c>
      <c r="P51">
        <f t="shared" si="6"/>
        <v>1.5287413095290467</v>
      </c>
      <c r="Q51">
        <f t="shared" si="7"/>
        <v>1.5090425720503122</v>
      </c>
      <c r="R51">
        <f t="shared" si="8"/>
        <v>1.588635109753513</v>
      </c>
      <c r="S51" s="4">
        <f t="shared" si="9"/>
        <v>2.4057792867417125</v>
      </c>
    </row>
    <row r="52" spans="1:19" x14ac:dyDescent="0.25">
      <c r="A52">
        <v>0.59850110000000001</v>
      </c>
      <c r="B52">
        <v>0.59130479999999996</v>
      </c>
      <c r="C52">
        <v>1.1823112</v>
      </c>
      <c r="D52">
        <v>-0.34514329999999999</v>
      </c>
      <c r="E52">
        <v>0.33248432999999999</v>
      </c>
      <c r="F52">
        <v>-0.15510383</v>
      </c>
      <c r="G52">
        <v>0.80541896999999996</v>
      </c>
      <c r="H52">
        <v>-0.13079044000000001</v>
      </c>
      <c r="I52">
        <v>0.398455</v>
      </c>
      <c r="J52">
        <v>-0.76460260000000002</v>
      </c>
      <c r="K52">
        <v>-0.99761659999999996</v>
      </c>
      <c r="L52">
        <v>-9.5948500000000006E-2</v>
      </c>
      <c r="M52">
        <v>0</v>
      </c>
      <c r="O52">
        <f t="shared" si="5"/>
        <v>1.8062238728446298</v>
      </c>
      <c r="P52">
        <f t="shared" si="6"/>
        <v>1.5465942930121257</v>
      </c>
      <c r="Q52">
        <f t="shared" si="7"/>
        <v>1.1989134707354183</v>
      </c>
      <c r="R52">
        <f t="shared" si="8"/>
        <v>-0.40059807207967424</v>
      </c>
      <c r="S52" s="4">
        <f t="shared" si="9"/>
        <v>0.31429725396310304</v>
      </c>
    </row>
    <row r="53" spans="1:19" x14ac:dyDescent="0.25">
      <c r="A53">
        <v>1.4567683</v>
      </c>
      <c r="B53">
        <v>1.4107976</v>
      </c>
      <c r="C53">
        <v>-1.0930594</v>
      </c>
      <c r="D53">
        <v>0.68035436000000005</v>
      </c>
      <c r="E53">
        <v>0.96281919999999999</v>
      </c>
      <c r="F53">
        <v>1.7455685999999999</v>
      </c>
      <c r="G53">
        <v>0.58861333000000005</v>
      </c>
      <c r="H53">
        <v>1.0490766</v>
      </c>
      <c r="I53">
        <v>0.87874589999999997</v>
      </c>
      <c r="J53">
        <v>-0.38874754</v>
      </c>
      <c r="K53">
        <v>1.5614868</v>
      </c>
      <c r="L53">
        <v>-9.5948500000000006E-2</v>
      </c>
      <c r="M53">
        <v>0</v>
      </c>
      <c r="O53">
        <f t="shared" si="5"/>
        <v>1.1959502312134169</v>
      </c>
      <c r="P53">
        <f t="shared" si="6"/>
        <v>1.5137459766969248</v>
      </c>
      <c r="Q53" s="4">
        <f t="shared" si="7"/>
        <v>0.91488574257780586</v>
      </c>
      <c r="R53">
        <f t="shared" si="8"/>
        <v>-8.5457322593044172</v>
      </c>
      <c r="S53">
        <f t="shared" si="9"/>
        <v>2.344768436898963</v>
      </c>
    </row>
    <row r="54" spans="1:19" x14ac:dyDescent="0.25">
      <c r="A54">
        <v>1.0276346000000001</v>
      </c>
      <c r="B54">
        <v>-0.22818807999999999</v>
      </c>
      <c r="C54">
        <v>-1.0930594</v>
      </c>
      <c r="D54">
        <v>-0.34514329999999999</v>
      </c>
      <c r="E54">
        <v>0.6476518</v>
      </c>
      <c r="F54">
        <v>0.43203144999999998</v>
      </c>
      <c r="G54">
        <v>0.16073983999999999</v>
      </c>
      <c r="H54">
        <v>2.4220126</v>
      </c>
      <c r="I54">
        <v>0.84316884999999997</v>
      </c>
      <c r="J54">
        <v>-0.76460260000000002</v>
      </c>
      <c r="K54">
        <v>1.0496662000000001</v>
      </c>
      <c r="L54">
        <v>-9.5948500000000006E-2</v>
      </c>
      <c r="M54">
        <v>0</v>
      </c>
      <c r="O54">
        <f t="shared" si="5"/>
        <v>1.2236505949927527</v>
      </c>
      <c r="P54">
        <f t="shared" si="6"/>
        <v>1.5326109658851719</v>
      </c>
      <c r="Q54" s="4">
        <f t="shared" si="7"/>
        <v>1.027757546462934</v>
      </c>
      <c r="R54">
        <f t="shared" si="8"/>
        <v>-5.5625948912929335</v>
      </c>
      <c r="S54">
        <f t="shared" si="9"/>
        <v>3.2731820965397951</v>
      </c>
    </row>
    <row r="55" spans="1:19" x14ac:dyDescent="0.25">
      <c r="A55">
        <v>-1.1180333</v>
      </c>
      <c r="B55">
        <v>-1.8671738</v>
      </c>
      <c r="C55">
        <v>1.1823112</v>
      </c>
      <c r="D55">
        <v>-1.3706408999999999</v>
      </c>
      <c r="E55">
        <v>0.38097164</v>
      </c>
      <c r="F55">
        <v>9.1777849999999994E-2</v>
      </c>
      <c r="G55">
        <v>0.46320214999999998</v>
      </c>
      <c r="H55">
        <v>0.68439037000000003</v>
      </c>
      <c r="I55">
        <v>0.11383813</v>
      </c>
      <c r="J55">
        <v>-0.70196009999999998</v>
      </c>
      <c r="K55">
        <v>0.82219030000000004</v>
      </c>
      <c r="L55">
        <v>-9.5948500000000006E-2</v>
      </c>
      <c r="M55">
        <v>0</v>
      </c>
      <c r="O55" s="4">
        <f t="shared" si="5"/>
        <v>1.1758696760800771</v>
      </c>
      <c r="P55">
        <f t="shared" si="6"/>
        <v>1.5158383926958441</v>
      </c>
      <c r="Q55">
        <f t="shared" si="7"/>
        <v>1.3005346779963707</v>
      </c>
      <c r="R55">
        <f t="shared" si="8"/>
        <v>4.1053285919753222</v>
      </c>
      <c r="S55">
        <f t="shared" si="9"/>
        <v>3.5167118245792253</v>
      </c>
    </row>
    <row r="56" spans="1:19" x14ac:dyDescent="0.25">
      <c r="A56">
        <v>0.59850110000000001</v>
      </c>
      <c r="B56">
        <v>0.59130479999999996</v>
      </c>
      <c r="C56">
        <v>0.27216297</v>
      </c>
      <c r="D56">
        <v>-0.85789210000000005</v>
      </c>
      <c r="E56">
        <v>-0.87969816000000001</v>
      </c>
      <c r="F56">
        <v>-1.5351092</v>
      </c>
      <c r="G56">
        <v>-2.1233013000000001</v>
      </c>
      <c r="H56">
        <v>-0.40966809999999998</v>
      </c>
      <c r="I56">
        <v>-1.5582860000000001</v>
      </c>
      <c r="J56">
        <v>4.9749979999999999E-2</v>
      </c>
      <c r="K56">
        <v>1.0496662000000001</v>
      </c>
      <c r="L56">
        <v>-9.5948500000000006E-2</v>
      </c>
      <c r="M56">
        <v>1.4303112</v>
      </c>
      <c r="O56">
        <f t="shared" si="5"/>
        <v>1.2374342581009519</v>
      </c>
      <c r="P56" s="4">
        <f t="shared" si="6"/>
        <v>1.5330906727904889</v>
      </c>
      <c r="Q56">
        <f t="shared" si="7"/>
        <v>1.2153622094905219</v>
      </c>
      <c r="R56">
        <f t="shared" si="8"/>
        <v>2.9714704432793457</v>
      </c>
      <c r="S56">
        <f t="shared" si="9"/>
        <v>0.25296333789721381</v>
      </c>
    </row>
    <row r="57" spans="1:19" x14ac:dyDescent="0.25">
      <c r="A57">
        <v>0.59850110000000001</v>
      </c>
      <c r="B57">
        <v>0.59130479999999996</v>
      </c>
      <c r="C57">
        <v>1.1823112</v>
      </c>
      <c r="D57">
        <v>0.68035436000000005</v>
      </c>
      <c r="E57">
        <v>-0.66150529999999996</v>
      </c>
      <c r="F57">
        <v>-0.93056554000000002</v>
      </c>
      <c r="G57">
        <v>0.70459819999999995</v>
      </c>
      <c r="H57">
        <v>-0.77435419999999999</v>
      </c>
      <c r="I57">
        <v>-0.93568649999999998</v>
      </c>
      <c r="J57">
        <v>0.73881750000000002</v>
      </c>
      <c r="K57">
        <v>-1.2250924000000001</v>
      </c>
      <c r="L57">
        <v>-9.5948500000000006E-2</v>
      </c>
      <c r="M57">
        <v>1.6900957999999999</v>
      </c>
      <c r="O57">
        <f t="shared" si="5"/>
        <v>2.107403654392483</v>
      </c>
      <c r="P57" s="4">
        <f t="shared" si="6"/>
        <v>1.5661768037576302</v>
      </c>
      <c r="Q57">
        <f t="shared" si="7"/>
        <v>1.1572590271453096</v>
      </c>
      <c r="R57">
        <f t="shared" si="8"/>
        <v>4.0342987582873997</v>
      </c>
      <c r="S57">
        <f t="shared" si="9"/>
        <v>-2.2882656178024199</v>
      </c>
    </row>
    <row r="58" spans="1:19" x14ac:dyDescent="0.25">
      <c r="A58">
        <v>1.4567683</v>
      </c>
      <c r="B58">
        <v>1.4107976</v>
      </c>
      <c r="C58">
        <v>-1.0930594</v>
      </c>
      <c r="D58">
        <v>-0.85789210000000005</v>
      </c>
      <c r="E58">
        <v>0.35672799999999999</v>
      </c>
      <c r="F58">
        <v>-0.36716886999999998</v>
      </c>
      <c r="G58">
        <v>-0.24336289999999999</v>
      </c>
      <c r="H58">
        <v>-0.10933832</v>
      </c>
      <c r="I58">
        <v>0.91432303000000004</v>
      </c>
      <c r="J58">
        <v>-1.0778152000000001</v>
      </c>
      <c r="K58">
        <v>-0.4857959</v>
      </c>
      <c r="L58">
        <v>-9.5948500000000006E-2</v>
      </c>
      <c r="M58">
        <v>0</v>
      </c>
      <c r="O58">
        <f t="shared" si="5"/>
        <v>1.686972694819421</v>
      </c>
      <c r="P58">
        <f t="shared" si="6"/>
        <v>1.5261320027505698</v>
      </c>
      <c r="Q58" s="4">
        <f t="shared" si="7"/>
        <v>1.1221757604007474</v>
      </c>
      <c r="R58">
        <f t="shared" si="8"/>
        <v>-3.8658931765031017</v>
      </c>
      <c r="S58">
        <f t="shared" si="9"/>
        <v>1.4419174585858328</v>
      </c>
    </row>
    <row r="59" spans="1:19" x14ac:dyDescent="0.25">
      <c r="A59">
        <v>0.16936749000000001</v>
      </c>
      <c r="B59">
        <v>-0.22818807999999999</v>
      </c>
      <c r="C59">
        <v>-1.0930594</v>
      </c>
      <c r="D59">
        <v>0.16760554999999999</v>
      </c>
      <c r="E59">
        <v>0.67189544000000001</v>
      </c>
      <c r="F59">
        <v>1.9465557</v>
      </c>
      <c r="G59">
        <v>0.68902426999999999</v>
      </c>
      <c r="H59">
        <v>0.23389570000000001</v>
      </c>
      <c r="I59">
        <v>0.91432303000000004</v>
      </c>
      <c r="J59">
        <v>0.36296250000000002</v>
      </c>
      <c r="K59">
        <v>2.6024780000000001E-2</v>
      </c>
      <c r="L59">
        <v>-9.5948500000000006E-2</v>
      </c>
      <c r="M59">
        <v>0</v>
      </c>
      <c r="O59">
        <f t="shared" si="5"/>
        <v>1.4810256558784283</v>
      </c>
      <c r="P59">
        <f t="shared" si="6"/>
        <v>1.5039587556173994</v>
      </c>
      <c r="Q59" s="4">
        <f t="shared" si="7"/>
        <v>1.0200819234131893</v>
      </c>
      <c r="R59">
        <f t="shared" si="8"/>
        <v>-1.6590132450658732</v>
      </c>
      <c r="S59">
        <f t="shared" si="9"/>
        <v>1.2709244973121891</v>
      </c>
    </row>
    <row r="60" spans="1:19" x14ac:dyDescent="0.25">
      <c r="A60">
        <v>1.4567683</v>
      </c>
      <c r="B60">
        <v>3.0497831999999998</v>
      </c>
      <c r="C60">
        <v>-1.0930594</v>
      </c>
      <c r="D60">
        <v>1.7058519999999999</v>
      </c>
      <c r="E60">
        <v>0.21126608999999999</v>
      </c>
      <c r="F60">
        <v>1.2549703999999999</v>
      </c>
      <c r="G60">
        <v>0.33164334000000001</v>
      </c>
      <c r="H60">
        <v>-0.25950321999999998</v>
      </c>
      <c r="I60">
        <v>1.2878826999999999</v>
      </c>
      <c r="J60">
        <v>-0.51403253999999998</v>
      </c>
      <c r="K60">
        <v>0.31036960000000002</v>
      </c>
      <c r="L60">
        <v>-9.5948500000000006E-2</v>
      </c>
      <c r="M60">
        <v>5.2298245000000003</v>
      </c>
      <c r="O60">
        <f t="shared" si="5"/>
        <v>1.5098085472172527</v>
      </c>
      <c r="P60" s="4">
        <f t="shared" si="6"/>
        <v>1.5258501626926515</v>
      </c>
      <c r="Q60">
        <f t="shared" si="7"/>
        <v>0.8097770455309532</v>
      </c>
      <c r="R60">
        <f t="shared" si="8"/>
        <v>-9.4388092697698465</v>
      </c>
      <c r="S60">
        <f t="shared" si="9"/>
        <v>1.2254827288080983</v>
      </c>
    </row>
    <row r="61" spans="1:19" x14ac:dyDescent="0.25">
      <c r="A61">
        <v>0.59850110000000001</v>
      </c>
      <c r="B61">
        <v>0.59130479999999996</v>
      </c>
      <c r="C61">
        <v>0.27216297</v>
      </c>
      <c r="D61">
        <v>0.68035436000000005</v>
      </c>
      <c r="E61">
        <v>-1.4373020999999999</v>
      </c>
      <c r="F61">
        <v>-1.4860494</v>
      </c>
      <c r="G61">
        <v>-2.0491201999999999</v>
      </c>
      <c r="H61">
        <v>-1.2892053000000001</v>
      </c>
      <c r="I61">
        <v>-2.4299249999999999</v>
      </c>
      <c r="J61">
        <v>1.6158127</v>
      </c>
      <c r="K61">
        <v>0.31036960000000002</v>
      </c>
      <c r="L61">
        <v>-9.5948500000000006E-2</v>
      </c>
      <c r="M61">
        <v>1.1442228999999999</v>
      </c>
      <c r="O61">
        <f t="shared" si="5"/>
        <v>1.557113973848316</v>
      </c>
      <c r="P61">
        <f t="shared" si="6"/>
        <v>1.5479204838000229</v>
      </c>
      <c r="Q61" s="4">
        <f t="shared" si="7"/>
        <v>1.128589896824731</v>
      </c>
      <c r="R61">
        <f t="shared" si="8"/>
        <v>5.9765047548775474</v>
      </c>
      <c r="S61">
        <f t="shared" si="9"/>
        <v>-1.5685675149939837</v>
      </c>
    </row>
    <row r="62" spans="1:19" x14ac:dyDescent="0.25">
      <c r="A62">
        <v>0.16936749000000001</v>
      </c>
      <c r="B62">
        <v>-0.22818807999999999</v>
      </c>
      <c r="C62">
        <v>-1.3205965</v>
      </c>
      <c r="D62">
        <v>0.16760554999999999</v>
      </c>
      <c r="E62">
        <v>4.156054E-2</v>
      </c>
      <c r="F62">
        <v>-1.5430219999999999</v>
      </c>
      <c r="G62">
        <v>-2.1696133999999998</v>
      </c>
      <c r="H62">
        <v>0.70584250000000004</v>
      </c>
      <c r="I62">
        <v>-0.24193294000000001</v>
      </c>
      <c r="J62">
        <v>-1.0778152000000001</v>
      </c>
      <c r="K62">
        <v>1.0496662000000001</v>
      </c>
      <c r="L62">
        <v>-9.5948500000000006E-2</v>
      </c>
      <c r="M62">
        <v>0</v>
      </c>
      <c r="O62" s="4">
        <f t="shared" si="5"/>
        <v>0.81609798833028213</v>
      </c>
      <c r="P62">
        <f t="shared" si="6"/>
        <v>1.5198880028508492</v>
      </c>
      <c r="Q62">
        <f t="shared" si="7"/>
        <v>1.0319374589362915</v>
      </c>
      <c r="R62">
        <f t="shared" si="8"/>
        <v>-1.9532697541105666</v>
      </c>
      <c r="S62">
        <f t="shared" si="9"/>
        <v>1.9311797597915858</v>
      </c>
    </row>
    <row r="63" spans="1:19" x14ac:dyDescent="0.25">
      <c r="A63">
        <v>-0.2597661</v>
      </c>
      <c r="B63">
        <v>-0.22818807999999999</v>
      </c>
      <c r="C63">
        <v>1.1823112</v>
      </c>
      <c r="D63">
        <v>-0.85789210000000005</v>
      </c>
      <c r="E63">
        <v>1.7316893E-2</v>
      </c>
      <c r="F63">
        <v>0.22787930000000001</v>
      </c>
      <c r="G63">
        <v>0.53902260000000002</v>
      </c>
      <c r="H63">
        <v>-0.43112022</v>
      </c>
      <c r="I63">
        <v>-0.22414438</v>
      </c>
      <c r="J63">
        <v>-0.32610506</v>
      </c>
      <c r="K63">
        <v>-0.99761659999999996</v>
      </c>
      <c r="L63">
        <v>-9.5948500000000006E-2</v>
      </c>
      <c r="M63">
        <v>1.403643</v>
      </c>
      <c r="O63">
        <f t="shared" si="5"/>
        <v>1.6560872047468391</v>
      </c>
      <c r="P63" s="4">
        <f t="shared" si="6"/>
        <v>1.5329495789160197</v>
      </c>
      <c r="Q63">
        <f t="shared" si="7"/>
        <v>1.2591684919634112</v>
      </c>
      <c r="R63">
        <f t="shared" si="8"/>
        <v>3.5365452162955044</v>
      </c>
      <c r="S63">
        <f t="shared" si="9"/>
        <v>0.86776252162771716</v>
      </c>
    </row>
    <row r="64" spans="1:19" x14ac:dyDescent="0.25">
      <c r="A64">
        <v>1.0276346000000001</v>
      </c>
      <c r="B64">
        <v>0.59130479999999996</v>
      </c>
      <c r="C64">
        <v>4.4625909999999998E-2</v>
      </c>
      <c r="D64">
        <v>0.16760554999999999</v>
      </c>
      <c r="E64">
        <v>0.55067719999999998</v>
      </c>
      <c r="F64">
        <v>1.0808872</v>
      </c>
      <c r="G64">
        <v>-0.50893955999999996</v>
      </c>
      <c r="H64">
        <v>0.42696485000000001</v>
      </c>
      <c r="I64">
        <v>0.57634050000000003</v>
      </c>
      <c r="J64">
        <v>0.23767750000000001</v>
      </c>
      <c r="K64">
        <v>-1.5094372</v>
      </c>
      <c r="L64">
        <v>-9.5948500000000006E-2</v>
      </c>
      <c r="M64">
        <v>0</v>
      </c>
      <c r="O64">
        <f t="shared" si="5"/>
        <v>1.7769271115271101</v>
      </c>
      <c r="P64">
        <f t="shared" si="6"/>
        <v>1.5346256513398184</v>
      </c>
      <c r="Q64" s="4">
        <f t="shared" si="7"/>
        <v>1.0747704119838262</v>
      </c>
      <c r="R64">
        <f t="shared" si="8"/>
        <v>-2.4436476075829194</v>
      </c>
      <c r="S64">
        <f t="shared" si="9"/>
        <v>1.5437794775077724</v>
      </c>
    </row>
    <row r="65" spans="1:19" x14ac:dyDescent="0.25">
      <c r="A65">
        <v>-1.5471668000000001</v>
      </c>
      <c r="B65">
        <v>-0.22818807999999999</v>
      </c>
      <c r="C65">
        <v>1.1823112</v>
      </c>
      <c r="D65">
        <v>-0.34514329999999999</v>
      </c>
      <c r="E65">
        <v>0.33248432999999999</v>
      </c>
      <c r="F65">
        <v>-0.15510383</v>
      </c>
      <c r="G65">
        <v>0.80541896999999996</v>
      </c>
      <c r="H65">
        <v>-0.13079044000000001</v>
      </c>
      <c r="I65">
        <v>0.93211160000000004</v>
      </c>
      <c r="J65">
        <v>-1.0778152000000001</v>
      </c>
      <c r="K65">
        <v>-0.4857959</v>
      </c>
      <c r="L65">
        <v>-9.5948500000000006E-2</v>
      </c>
      <c r="M65">
        <v>0</v>
      </c>
      <c r="O65">
        <f t="shared" si="5"/>
        <v>1.49830017347463</v>
      </c>
      <c r="P65">
        <f t="shared" si="6"/>
        <v>1.532317632856544</v>
      </c>
      <c r="Q65" s="4">
        <f t="shared" si="7"/>
        <v>1.2177664867139171</v>
      </c>
      <c r="R65">
        <f t="shared" si="8"/>
        <v>2.6726288374983671</v>
      </c>
      <c r="S65">
        <f t="shared" si="9"/>
        <v>2.9013225917401426</v>
      </c>
    </row>
    <row r="66" spans="1:19" x14ac:dyDescent="0.25">
      <c r="A66">
        <v>1.4567683</v>
      </c>
      <c r="B66">
        <v>1.4107976</v>
      </c>
      <c r="C66">
        <v>1.1823112</v>
      </c>
      <c r="D66">
        <v>-0.85789210000000005</v>
      </c>
      <c r="E66">
        <v>0.18702242999999999</v>
      </c>
      <c r="F66">
        <v>-5.8566767999999998E-2</v>
      </c>
      <c r="G66">
        <v>0.85664903999999997</v>
      </c>
      <c r="H66">
        <v>-0.60273725</v>
      </c>
      <c r="I66">
        <v>0.66528330000000002</v>
      </c>
      <c r="J66">
        <v>-0.57667506000000002</v>
      </c>
      <c r="K66">
        <v>-0.99761659999999996</v>
      </c>
      <c r="L66">
        <v>-9.5948500000000006E-2</v>
      </c>
      <c r="M66">
        <v>2.1377103000000002</v>
      </c>
      <c r="O66" s="4">
        <f t="shared" ref="O66:O97" si="10">0.0707*A66 + 0.3513*J66 - 0.148*K66 - 0.0254*L66 + 0.0945*B66 + 0.0838*C66 - 0.1098*D66 - 0.0029*E66 - 0.1695*F66 + 0.121*G66 - 0.0023*H66 + 0.2005*I66 + 0.0034*EXP(1.4292*E66) - 0.0606*SIN(1*L66 + 1.4053) + 1.3522*SIN(2.9197*L66 - 7.644) + 0.0425*SIN(1.9347*C66 - 2.5505) - 0.0088*SIN(3.5081*C66 - 7.7607) + 2.9036</f>
        <v>2.1104799621047343</v>
      </c>
      <c r="P66">
        <f t="shared" ref="P66:P97" si="11">0.004*A66 + 0.0089*J66 - 0.0063*K66 - 0.0327*L66 + 0.0053*B66 + 0.0082*C66 + 0.004*D66 - 0.0011*E66 - 0.0133*F66 + 0.0044*G66 + 0.0111*H66 - 0.0003*I66 - 0.0024*SQRT(1 - 0.8455*C66) + 0.0016*(-0.7809*I66 - 1)^2 + 0.0007*EXP(0.7704*K66) - 0.0167*SIN(2.8038*L66 + 7.9002) - 0.0013*SIN(5.0219*B66 - 0.4098) + 0.0004*SIN(5.0338*B66 + 8.9958) - 0.0011*SIN(0.621*C66 + 1.9102) + 0.0009*SIN(1.1851*C66 + 8.5936) + 0.0008*SIN(9.372*D66 + 9.9998) + 1.5413</f>
        <v>1.5493782334571684</v>
      </c>
      <c r="Q66">
        <f t="shared" ref="Q66:Q97" si="12" xml:space="preserve"> 0.0049*A66 + 0.0177*J66 + 0.0014*K66 - 0.0348*L66 - 0.0318*B66 + 0.0559*C66 - 0.0638*D66 - 0.0014*E66 - 0.0236*F66 + 0.0056*G66 - 0.0317*H66 + 0.013*I66 - 0.001*(-0.743*I66 - 1)^2 - 0.0092*EXP(-0.0775*A66 - 0.0866*J66 + 0.057*K66 - 0.2106*L66 - 0.0888*B66 + 0.1115*C66 + 0.0164*D66 + 0.0019*E66 + 0.0949*F66 - 0.007*G66 - 0.0252*H66 - 0.025*I66) - 0.0327*SIN(0.56*A66 - 4.419) + 0.2232*SIN(2.8002*L66 + 7.9889) - 0.0678*SIN(3.0034*L66 - 5.2083) - 1.163*SIN(8.608*L66 + 9.0216) - 0.0928*SIN(8.6081*L66 + 9.0049) - 0.2564*SIN(8.6081*L66 + 9.0198) - 0.0489*SIN(0.8118*D66 + 5.3891) - 0.0363*SIN(0.4099*G66 + 5.2175) - 0.0005*TAN(2.6158*B66 - 1.9768) - 0.0001*TAN(5.1313*B66 - 2.4811) - 0.0016*TAN(9.4394*B66 + 2.0395) - 0*TAN(9.451*B66 + 2.052) + 2.3482</f>
        <v>1.2584372025575077</v>
      </c>
      <c r="R66">
        <f t="shared" ref="R66:R97" si="13">-1.8317*A66 + 2.233*J66 - 0.4713*K66 + 0.2053*L66 - 0.604*B66 + 0.1096*C66 - 1.4373*D66 - 0.1075*E66 - 1.1536*F66 + 0.3987*G66 - 0.7942*H66 - 0.7312*I66 + 0.0589*EXP(1.6525*C66) + 0.0438*SIN(0.8371*A66 + 5.423) + 10.4162*SIN(2.8042*L66 + 4.687) - 2.371*SIN(8.5999*L66 + 3.0151) - 1.4228*SIN(8.604*L66 + 6.0738) + 0.0348*SIN(0.7277*H66 - 1.031) + 11.7139</f>
        <v>-1.1790405408593774</v>
      </c>
      <c r="S66">
        <f t="shared" ref="S66:S97" si="14">0.0614*A66 - 0.2912*J66 + 0.3615*K66 + 0.0998*L66 - 0.3538*B66 - 0.0546*C66 - 0.2401*D66 - 0.0352*E66 + 0.0743*F66 - 0.6423*G66 + 0.1956*H66 + 0.7758*I66 - 0.057*(-B66 - 0.9558)^2 + 0.0043*EXP(4.2598*C66) + 0.8412*SIN(1.4244*A66 - 2.0027) - 0.2064*SIN(0.6031*J66 - 4.407) + 0.225*SIN(3.0037*L66 - 2.4175) - 0.024*SIN(1.612*C66 - 9.986) + 0.1088*SIN(1.9462*C66 - 1.19519996643066) + 0.0802*SIN(2.8134*D66 + 3.398) - 0.1945*SIN(1.1774*F66 + 8.3903) - 0.7165*SIN(1.5963*F66 - 3.2053) - 0.1861*SIN(1.272*I66 - 9.988) + 1.6536</f>
        <v>1.0758793951000609</v>
      </c>
    </row>
    <row r="67" spans="1:19" x14ac:dyDescent="0.25">
      <c r="A67">
        <v>-1.1180333</v>
      </c>
      <c r="B67">
        <v>-1.8671738</v>
      </c>
      <c r="C67">
        <v>0.27216297</v>
      </c>
      <c r="D67">
        <v>0.16760554999999999</v>
      </c>
      <c r="E67">
        <v>-0.37058150000000001</v>
      </c>
      <c r="F67">
        <v>-0.96221703000000003</v>
      </c>
      <c r="G67">
        <v>-1.8556755</v>
      </c>
      <c r="H67">
        <v>0.12663506999999999</v>
      </c>
      <c r="I67">
        <v>-1.3270347</v>
      </c>
      <c r="J67">
        <v>-0.32610506</v>
      </c>
      <c r="K67">
        <v>1.0496662000000001</v>
      </c>
      <c r="L67">
        <v>-9.5948500000000006E-2</v>
      </c>
      <c r="M67">
        <v>0</v>
      </c>
      <c r="O67" s="4">
        <f t="shared" si="10"/>
        <v>0.61907990178206385</v>
      </c>
      <c r="P67">
        <f t="shared" si="11"/>
        <v>1.5116697094865352</v>
      </c>
      <c r="Q67">
        <f t="shared" si="12"/>
        <v>1.1699049974189526</v>
      </c>
      <c r="R67">
        <f t="shared" si="13"/>
        <v>4.0618086827435729</v>
      </c>
      <c r="S67">
        <f t="shared" si="14"/>
        <v>1.6735990834536694</v>
      </c>
    </row>
    <row r="68" spans="1:19" x14ac:dyDescent="0.25">
      <c r="A68">
        <v>-0.2597661</v>
      </c>
      <c r="B68">
        <v>0.59130479999999996</v>
      </c>
      <c r="C68">
        <v>-0.63798520000000003</v>
      </c>
      <c r="D68">
        <v>0.16760554999999999</v>
      </c>
      <c r="E68">
        <v>-1.4130583999999999</v>
      </c>
      <c r="F68">
        <v>-1.6316463000000001</v>
      </c>
      <c r="G68">
        <v>-2.0413332</v>
      </c>
      <c r="H68">
        <v>-1.1819446</v>
      </c>
      <c r="I68">
        <v>-1.5760745</v>
      </c>
      <c r="J68">
        <v>1.1146725</v>
      </c>
      <c r="K68">
        <v>-1.2250924000000001</v>
      </c>
      <c r="L68">
        <v>-9.5948500000000006E-2</v>
      </c>
      <c r="M68">
        <v>3.9661323999999998</v>
      </c>
      <c r="O68" s="4">
        <f t="shared" si="10"/>
        <v>1.7787068372398376</v>
      </c>
      <c r="P68">
        <f t="shared" si="11"/>
        <v>1.5405211366351217</v>
      </c>
      <c r="Q68">
        <f t="shared" si="12"/>
        <v>1.119231502442247</v>
      </c>
      <c r="R68">
        <f t="shared" si="13"/>
        <v>7.1534020145091812</v>
      </c>
      <c r="S68">
        <f t="shared" si="14"/>
        <v>-1.1110772247913245</v>
      </c>
    </row>
    <row r="69" spans="1:19" x14ac:dyDescent="0.25">
      <c r="A69">
        <v>0.59850110000000001</v>
      </c>
      <c r="B69">
        <v>1.4107976</v>
      </c>
      <c r="C69">
        <v>-1.0930594</v>
      </c>
      <c r="D69">
        <v>-0.34514329999999999</v>
      </c>
      <c r="E69">
        <v>1.2537430000000001</v>
      </c>
      <c r="F69">
        <v>0.82134490000000004</v>
      </c>
      <c r="G69">
        <v>0.36074200000000001</v>
      </c>
      <c r="H69">
        <v>1.0705286000000001</v>
      </c>
      <c r="I69">
        <v>2.1061559999999999</v>
      </c>
      <c r="J69">
        <v>-0.8898876</v>
      </c>
      <c r="K69">
        <v>0.53784542999999996</v>
      </c>
      <c r="L69">
        <v>-9.5948500000000006E-2</v>
      </c>
      <c r="M69">
        <v>2.2607210000000002</v>
      </c>
      <c r="O69">
        <f t="shared" si="10"/>
        <v>1.6045452935198428</v>
      </c>
      <c r="P69">
        <f t="shared" si="11"/>
        <v>1.5252756919441135</v>
      </c>
      <c r="Q69">
        <f t="shared" si="12"/>
        <v>1.0170366495790986</v>
      </c>
      <c r="R69">
        <f t="shared" si="13"/>
        <v>-6.1370324934301461</v>
      </c>
      <c r="S69" s="4">
        <f t="shared" si="14"/>
        <v>2.9033049505239412</v>
      </c>
    </row>
    <row r="70" spans="1:19" x14ac:dyDescent="0.25">
      <c r="A70">
        <v>-0.6888997</v>
      </c>
      <c r="B70">
        <v>-0.22818807999999999</v>
      </c>
      <c r="C70">
        <v>0.27216297</v>
      </c>
      <c r="D70">
        <v>-0.34514329999999999</v>
      </c>
      <c r="E70">
        <v>0.21126608999999999</v>
      </c>
      <c r="F70">
        <v>-1.2075161999999999</v>
      </c>
      <c r="G70">
        <v>-1.9433813</v>
      </c>
      <c r="H70">
        <v>-0.25950321999999998</v>
      </c>
      <c r="I70">
        <v>-1.3092462</v>
      </c>
      <c r="J70">
        <v>-0.8898876</v>
      </c>
      <c r="K70">
        <v>1.3340110000000001</v>
      </c>
      <c r="L70">
        <v>-9.5948500000000006E-2</v>
      </c>
      <c r="M70">
        <v>0</v>
      </c>
      <c r="O70" s="4">
        <f t="shared" si="10"/>
        <v>0.65679339849689233</v>
      </c>
      <c r="P70">
        <f t="shared" si="11"/>
        <v>1.5149004948879594</v>
      </c>
      <c r="Q70">
        <f t="shared" si="12"/>
        <v>1.1709374933403052</v>
      </c>
      <c r="R70">
        <f t="shared" si="13"/>
        <v>2.1036633413486481</v>
      </c>
      <c r="S70">
        <f t="shared" si="14"/>
        <v>1.1900091332985732</v>
      </c>
    </row>
    <row r="71" spans="1:19" x14ac:dyDescent="0.25">
      <c r="A71">
        <v>0.59850110000000001</v>
      </c>
      <c r="B71">
        <v>-0.22818807999999999</v>
      </c>
      <c r="C71">
        <v>0.27216297</v>
      </c>
      <c r="D71">
        <v>1.7058519999999999</v>
      </c>
      <c r="E71">
        <v>-0.39482516000000001</v>
      </c>
      <c r="F71">
        <v>-1.3325396</v>
      </c>
      <c r="G71">
        <v>-1.9843653000000001</v>
      </c>
      <c r="H71">
        <v>-0.5812851</v>
      </c>
      <c r="I71">
        <v>-0.54433834999999997</v>
      </c>
      <c r="J71">
        <v>-0.57667506000000002</v>
      </c>
      <c r="K71">
        <v>2.6024780000000001E-2</v>
      </c>
      <c r="L71">
        <v>-9.5948500000000006E-2</v>
      </c>
      <c r="M71">
        <v>0</v>
      </c>
      <c r="O71">
        <f t="shared" si="10"/>
        <v>0.99565643539870474</v>
      </c>
      <c r="P71">
        <f t="shared" si="11"/>
        <v>1.537148366148072</v>
      </c>
      <c r="Q71">
        <f t="shared" si="12"/>
        <v>1.0132233823153671</v>
      </c>
      <c r="R71">
        <f t="shared" si="13"/>
        <v>-1.9710791250363613</v>
      </c>
      <c r="S71" s="4">
        <f t="shared" si="14"/>
        <v>0.22794369159536743</v>
      </c>
    </row>
    <row r="72" spans="1:19" x14ac:dyDescent="0.25">
      <c r="A72">
        <v>1.4567683</v>
      </c>
      <c r="B72">
        <v>1.4107976</v>
      </c>
      <c r="C72">
        <v>-1.0930594</v>
      </c>
      <c r="D72">
        <v>0.16760554999999999</v>
      </c>
      <c r="E72">
        <v>-0.15238864999999999</v>
      </c>
      <c r="F72">
        <v>-0.19783336000000001</v>
      </c>
      <c r="G72">
        <v>0.31238082</v>
      </c>
      <c r="H72">
        <v>-0.5812851</v>
      </c>
      <c r="I72">
        <v>-0.49097269999999998</v>
      </c>
      <c r="J72">
        <v>0.92674506000000001</v>
      </c>
      <c r="K72">
        <v>-0.4857959</v>
      </c>
      <c r="L72">
        <v>-9.5948500000000006E-2</v>
      </c>
      <c r="M72">
        <v>3.4986264999999999</v>
      </c>
      <c r="O72" s="4">
        <f t="shared" si="10"/>
        <v>2.0349913458980504</v>
      </c>
      <c r="P72">
        <f t="shared" si="11"/>
        <v>1.5385069410067915</v>
      </c>
      <c r="Q72">
        <f t="shared" si="12"/>
        <v>1.0724139646386686</v>
      </c>
      <c r="R72">
        <f t="shared" si="13"/>
        <v>0.61629024437433344</v>
      </c>
      <c r="S72">
        <f t="shared" si="14"/>
        <v>-1.0586669945729783</v>
      </c>
    </row>
    <row r="73" spans="1:19" x14ac:dyDescent="0.25">
      <c r="A73">
        <v>-0.6888997</v>
      </c>
      <c r="B73">
        <v>0.59130479999999996</v>
      </c>
      <c r="C73">
        <v>1.1823112</v>
      </c>
      <c r="D73">
        <v>0.68035436000000005</v>
      </c>
      <c r="E73">
        <v>-3.1170407000000001E-2</v>
      </c>
      <c r="F73">
        <v>0.39246708000000002</v>
      </c>
      <c r="G73">
        <v>1.0976353000000001</v>
      </c>
      <c r="H73">
        <v>-0.47402446999999998</v>
      </c>
      <c r="I73">
        <v>-1.077995</v>
      </c>
      <c r="J73">
        <v>-0.32610506</v>
      </c>
      <c r="K73">
        <v>-0.71327174000000004</v>
      </c>
      <c r="L73">
        <v>-9.5948500000000006E-2</v>
      </c>
      <c r="M73">
        <v>1.1568811999999999</v>
      </c>
      <c r="O73">
        <f t="shared" si="10"/>
        <v>1.3607104483728896</v>
      </c>
      <c r="P73">
        <f t="shared" si="11"/>
        <v>1.53519658395131</v>
      </c>
      <c r="Q73" s="4">
        <f t="shared" si="12"/>
        <v>1.0776900599782486</v>
      </c>
      <c r="R73">
        <f t="shared" si="13"/>
        <v>2.1741012124263914</v>
      </c>
      <c r="S73">
        <f t="shared" si="14"/>
        <v>-0.35143022065821761</v>
      </c>
    </row>
    <row r="74" spans="1:19" x14ac:dyDescent="0.25">
      <c r="A74">
        <v>-1.1180333</v>
      </c>
      <c r="B74">
        <v>-0.22818807999999999</v>
      </c>
      <c r="C74">
        <v>1.1823112</v>
      </c>
      <c r="D74">
        <v>-0.34514329999999999</v>
      </c>
      <c r="E74">
        <v>0.62340814</v>
      </c>
      <c r="F74">
        <v>0.52698593999999999</v>
      </c>
      <c r="G74">
        <v>0.68205696000000005</v>
      </c>
      <c r="H74">
        <v>-0.19514682999999999</v>
      </c>
      <c r="I74">
        <v>1.7148080000000001</v>
      </c>
      <c r="J74">
        <v>-1.0778152000000001</v>
      </c>
      <c r="K74">
        <v>-0.99761659999999996</v>
      </c>
      <c r="L74">
        <v>-9.5948500000000006E-2</v>
      </c>
      <c r="M74">
        <v>0.95935020000000004</v>
      </c>
      <c r="O74">
        <f t="shared" si="10"/>
        <v>1.6329025730586724</v>
      </c>
      <c r="P74">
        <f t="shared" si="11"/>
        <v>1.5301952145750812</v>
      </c>
      <c r="Q74">
        <f t="shared" si="12"/>
        <v>1.2099424843799933</v>
      </c>
      <c r="R74" s="4">
        <f t="shared" si="13"/>
        <v>0.73246159372135189</v>
      </c>
      <c r="S74">
        <f t="shared" si="14"/>
        <v>3.9934730683274617</v>
      </c>
    </row>
    <row r="75" spans="1:19" x14ac:dyDescent="0.25">
      <c r="A75">
        <v>1.8859018000000001</v>
      </c>
      <c r="B75">
        <v>3.8692760000000002</v>
      </c>
      <c r="C75">
        <v>-0.18291114</v>
      </c>
      <c r="D75">
        <v>0.68035436000000005</v>
      </c>
      <c r="E75">
        <v>0.57492083000000005</v>
      </c>
      <c r="F75">
        <v>3.6387727000000002E-2</v>
      </c>
      <c r="G75">
        <v>2.0574390000000001E-2</v>
      </c>
      <c r="H75">
        <v>0.105182946</v>
      </c>
      <c r="I75">
        <v>1.9994247999999999</v>
      </c>
      <c r="J75">
        <v>-1.2031000999999999</v>
      </c>
      <c r="K75">
        <v>0.31036960000000002</v>
      </c>
      <c r="L75">
        <v>-9.5948500000000006E-2</v>
      </c>
      <c r="M75">
        <v>1.3217559000000001</v>
      </c>
      <c r="O75">
        <f t="shared" si="10"/>
        <v>1.8395404551887005</v>
      </c>
      <c r="P75" s="4">
        <f t="shared" si="11"/>
        <v>1.5520195154603937</v>
      </c>
      <c r="Q75">
        <f t="shared" si="12"/>
        <v>0.96148580484614188</v>
      </c>
      <c r="R75">
        <f t="shared" si="13"/>
        <v>-10.200512790069135</v>
      </c>
      <c r="S75">
        <f t="shared" si="14"/>
        <v>0.97460474109307027</v>
      </c>
    </row>
    <row r="76" spans="1:19" x14ac:dyDescent="0.25">
      <c r="A76">
        <v>-0.2597661</v>
      </c>
      <c r="B76">
        <v>1.4107976</v>
      </c>
      <c r="C76">
        <v>0.27216297</v>
      </c>
      <c r="D76">
        <v>0.16760554999999999</v>
      </c>
      <c r="E76">
        <v>-0.37058150000000001</v>
      </c>
      <c r="F76">
        <v>-0.96221703000000003</v>
      </c>
      <c r="G76">
        <v>-1.8556755</v>
      </c>
      <c r="H76">
        <v>0.12663506999999999</v>
      </c>
      <c r="I76">
        <v>-1.4871316999999999</v>
      </c>
      <c r="J76">
        <v>0.112392485</v>
      </c>
      <c r="K76">
        <v>0.53784542999999996</v>
      </c>
      <c r="L76">
        <v>-9.5948500000000006E-2</v>
      </c>
      <c r="M76">
        <v>0</v>
      </c>
      <c r="O76">
        <f t="shared" si="10"/>
        <v>1.1872219031405642</v>
      </c>
      <c r="P76">
        <f t="shared" si="11"/>
        <v>1.539147262296813</v>
      </c>
      <c r="Q76">
        <f t="shared" si="12"/>
        <v>1.0840240210627874</v>
      </c>
      <c r="R76">
        <f t="shared" si="13"/>
        <v>1.8513872698039258</v>
      </c>
      <c r="S76" s="4">
        <f t="shared" si="14"/>
        <v>-1.0561695563593583</v>
      </c>
    </row>
    <row r="77" spans="1:19" x14ac:dyDescent="0.25">
      <c r="A77">
        <v>0.59850110000000001</v>
      </c>
      <c r="B77">
        <v>0.59130479999999996</v>
      </c>
      <c r="C77">
        <v>-0.63798520000000003</v>
      </c>
      <c r="D77">
        <v>1.1931031999999999</v>
      </c>
      <c r="E77">
        <v>-3.8131797000000001</v>
      </c>
      <c r="F77">
        <v>-1.7044446</v>
      </c>
      <c r="G77">
        <v>-2.2081382000000001</v>
      </c>
      <c r="H77">
        <v>-1.5251787000000001</v>
      </c>
      <c r="I77">
        <v>-2.5544449999999999</v>
      </c>
      <c r="J77">
        <v>2.3675226999999999</v>
      </c>
      <c r="K77">
        <v>1.3340110000000001</v>
      </c>
      <c r="L77">
        <v>-9.5948500000000006E-2</v>
      </c>
      <c r="M77">
        <v>1.8547343000000001</v>
      </c>
      <c r="O77" s="4">
        <f t="shared" si="10"/>
        <v>1.5914714458607819</v>
      </c>
      <c r="P77">
        <f t="shared" si="11"/>
        <v>1.5468747598294761</v>
      </c>
      <c r="Q77">
        <f t="shared" si="12"/>
        <v>1.0529750764391959</v>
      </c>
      <c r="R77">
        <f t="shared" si="13"/>
        <v>6.9892624822473506</v>
      </c>
      <c r="S77">
        <f t="shared" si="14"/>
        <v>-1.0193608839844095</v>
      </c>
    </row>
    <row r="78" spans="1:19" x14ac:dyDescent="0.25">
      <c r="A78">
        <v>0.59850110000000001</v>
      </c>
      <c r="B78">
        <v>-1.0476810000000001</v>
      </c>
      <c r="C78">
        <v>-0.18291114</v>
      </c>
      <c r="D78">
        <v>1.1931031999999999</v>
      </c>
      <c r="E78">
        <v>0.45370257000000003</v>
      </c>
      <c r="F78">
        <v>0.82292750000000003</v>
      </c>
      <c r="G78">
        <v>8.5329189999999999E-2</v>
      </c>
      <c r="H78">
        <v>-2.3529814999999999E-2</v>
      </c>
      <c r="I78">
        <v>1.3056711999999999</v>
      </c>
      <c r="J78">
        <v>-0.32610506</v>
      </c>
      <c r="K78">
        <v>-0.4857959</v>
      </c>
      <c r="L78">
        <v>-9.5948500000000006E-2</v>
      </c>
      <c r="M78">
        <v>2.0819385000000001</v>
      </c>
      <c r="O78">
        <f t="shared" si="10"/>
        <v>1.3883266106362897</v>
      </c>
      <c r="P78">
        <f t="shared" si="11"/>
        <v>1.5204501220391675</v>
      </c>
      <c r="Q78">
        <f t="shared" si="12"/>
        <v>1.2938516476572535</v>
      </c>
      <c r="R78">
        <f t="shared" si="13"/>
        <v>-3.5809420158996996</v>
      </c>
      <c r="S78" s="4">
        <f t="shared" si="14"/>
        <v>2.3688030338118038</v>
      </c>
    </row>
    <row r="79" spans="1:19" x14ac:dyDescent="0.25">
      <c r="A79">
        <v>-0.2597661</v>
      </c>
      <c r="B79">
        <v>0.59130479999999996</v>
      </c>
      <c r="C79">
        <v>-0.41044819999999999</v>
      </c>
      <c r="D79">
        <v>0.16760554999999999</v>
      </c>
      <c r="E79">
        <v>-17.486597</v>
      </c>
      <c r="F79">
        <v>-1.7566695999999999</v>
      </c>
      <c r="G79">
        <v>-1.5720658000000001</v>
      </c>
      <c r="H79">
        <v>-1.9327691</v>
      </c>
      <c r="I79">
        <v>-2.4477136000000002</v>
      </c>
      <c r="J79">
        <v>3.4950879000000001</v>
      </c>
      <c r="K79">
        <v>-1.7369131</v>
      </c>
      <c r="L79">
        <v>-9.5948500000000006E-2</v>
      </c>
      <c r="M79">
        <v>0</v>
      </c>
      <c r="O79">
        <f t="shared" si="10"/>
        <v>2.6506749787719364</v>
      </c>
      <c r="P79">
        <f t="shared" si="11"/>
        <v>1.5814539178279012</v>
      </c>
      <c r="Q79" s="4">
        <f t="shared" si="12"/>
        <v>1.2161950553856233</v>
      </c>
      <c r="R79">
        <f t="shared" si="13"/>
        <v>16.047775211799966</v>
      </c>
      <c r="S79">
        <f t="shared" si="14"/>
        <v>-1.9698700166787138</v>
      </c>
    </row>
    <row r="80" spans="1:19" x14ac:dyDescent="0.25">
      <c r="A80">
        <v>0.59850110000000001</v>
      </c>
      <c r="B80">
        <v>-1.0476810000000001</v>
      </c>
      <c r="C80">
        <v>1.1823112</v>
      </c>
      <c r="D80">
        <v>1.1931031999999999</v>
      </c>
      <c r="E80">
        <v>-0.12814501</v>
      </c>
      <c r="F80">
        <v>-0.49694001999999998</v>
      </c>
      <c r="G80">
        <v>0.71812295999999998</v>
      </c>
      <c r="H80">
        <v>-0.5812851</v>
      </c>
      <c r="I80">
        <v>-0.13520161999999999</v>
      </c>
      <c r="J80">
        <v>1.1146725</v>
      </c>
      <c r="K80">
        <v>0.31036960000000002</v>
      </c>
      <c r="L80">
        <v>-9.5948500000000006E-2</v>
      </c>
      <c r="M80">
        <v>0</v>
      </c>
      <c r="O80">
        <f t="shared" si="10"/>
        <v>1.8891625946182586</v>
      </c>
      <c r="P80">
        <f t="shared" si="11"/>
        <v>1.5516489789439811</v>
      </c>
      <c r="Q80">
        <f t="shared" si="12"/>
        <v>1.4285646565244836</v>
      </c>
      <c r="R80">
        <f t="shared" si="13"/>
        <v>3.112296227094447</v>
      </c>
      <c r="S80" s="4">
        <f t="shared" si="14"/>
        <v>-0.24472129175165458</v>
      </c>
    </row>
    <row r="81" spans="1:19" x14ac:dyDescent="0.25">
      <c r="A81">
        <v>-1.1180333</v>
      </c>
      <c r="B81">
        <v>-1.8671738</v>
      </c>
      <c r="C81">
        <v>-1.0930594</v>
      </c>
      <c r="D81">
        <v>-0.34514329999999999</v>
      </c>
      <c r="E81">
        <v>0.69613910000000001</v>
      </c>
      <c r="F81">
        <v>1.8832526000000001</v>
      </c>
      <c r="G81">
        <v>0.65623699999999996</v>
      </c>
      <c r="H81">
        <v>-0.13079044000000001</v>
      </c>
      <c r="I81">
        <v>0.52297484999999999</v>
      </c>
      <c r="J81">
        <v>-0.13817752999999999</v>
      </c>
      <c r="K81">
        <v>-0.99761659999999996</v>
      </c>
      <c r="L81">
        <v>-9.5948500000000006E-2</v>
      </c>
      <c r="M81">
        <v>5.1683792999999998</v>
      </c>
      <c r="O81">
        <f t="shared" si="10"/>
        <v>1.1962494554384286</v>
      </c>
      <c r="P81">
        <f t="shared" si="11"/>
        <v>1.4836096036953781</v>
      </c>
      <c r="Q81">
        <f t="shared" si="12"/>
        <v>1.1057731579882228</v>
      </c>
      <c r="R81">
        <f t="shared" si="13"/>
        <v>2.4036819585593356</v>
      </c>
      <c r="S81" s="4">
        <f t="shared" si="14"/>
        <v>2.5525017040996256</v>
      </c>
    </row>
    <row r="82" spans="1:19" x14ac:dyDescent="0.25">
      <c r="A82">
        <v>0.59850110000000001</v>
      </c>
      <c r="B82">
        <v>0.59130479999999996</v>
      </c>
      <c r="C82">
        <v>-1.3205965</v>
      </c>
      <c r="D82">
        <v>0.68035436000000005</v>
      </c>
      <c r="E82">
        <v>-2.2615862</v>
      </c>
      <c r="F82">
        <v>-1.6300637</v>
      </c>
      <c r="G82">
        <v>-2.0483004999999999</v>
      </c>
      <c r="H82">
        <v>-1.3535615999999999</v>
      </c>
      <c r="I82">
        <v>-2.3409822</v>
      </c>
      <c r="J82">
        <v>0.61353254000000002</v>
      </c>
      <c r="K82">
        <v>1.0496662000000001</v>
      </c>
      <c r="L82">
        <v>-9.5948500000000006E-2</v>
      </c>
      <c r="M82">
        <v>2.4790561000000002</v>
      </c>
      <c r="O82">
        <f t="shared" si="10"/>
        <v>1.078265380137706</v>
      </c>
      <c r="P82">
        <f t="shared" si="11"/>
        <v>1.5226291257071491</v>
      </c>
      <c r="Q82">
        <f t="shared" si="12"/>
        <v>1.0311816135490206</v>
      </c>
      <c r="R82" s="4">
        <f t="shared" si="13"/>
        <v>3.3715249221243049</v>
      </c>
      <c r="S82">
        <f t="shared" si="14"/>
        <v>-0.69134150534794214</v>
      </c>
    </row>
    <row r="83" spans="1:19" x14ac:dyDescent="0.25">
      <c r="A83">
        <v>1.8859018000000001</v>
      </c>
      <c r="B83">
        <v>0.59130479999999996</v>
      </c>
      <c r="C83">
        <v>4.4625909999999998E-2</v>
      </c>
      <c r="D83">
        <v>1.7058519999999999</v>
      </c>
      <c r="E83">
        <v>0.59916449999999999</v>
      </c>
      <c r="F83">
        <v>-0.99070340000000001</v>
      </c>
      <c r="G83">
        <v>-1.0544373</v>
      </c>
      <c r="H83">
        <v>1.0705286000000001</v>
      </c>
      <c r="I83">
        <v>1.6080767</v>
      </c>
      <c r="J83">
        <v>-0.63931760000000004</v>
      </c>
      <c r="K83">
        <v>0.31036960000000002</v>
      </c>
      <c r="L83">
        <v>-9.5948500000000006E-2</v>
      </c>
      <c r="M83">
        <v>2.2148460999999999</v>
      </c>
      <c r="O83" s="4">
        <f t="shared" si="10"/>
        <v>1.5821950009473462</v>
      </c>
      <c r="P83">
        <f t="shared" si="11"/>
        <v>1.5635963703137354</v>
      </c>
      <c r="Q83">
        <f t="shared" si="12"/>
        <v>0.96336546617187913</v>
      </c>
      <c r="R83">
        <f t="shared" si="13"/>
        <v>-8.0979937876691022</v>
      </c>
      <c r="S83">
        <f t="shared" si="14"/>
        <v>2.8563636579324472</v>
      </c>
    </row>
    <row r="84" spans="1:19" x14ac:dyDescent="0.25">
      <c r="A84">
        <v>0.59850110000000001</v>
      </c>
      <c r="B84">
        <v>0.59130479999999996</v>
      </c>
      <c r="C84">
        <v>-1.0930594</v>
      </c>
      <c r="D84">
        <v>-1.3706408999999999</v>
      </c>
      <c r="E84">
        <v>4.156054E-2</v>
      </c>
      <c r="F84">
        <v>0.8672396</v>
      </c>
      <c r="G84">
        <v>0.80992719999999996</v>
      </c>
      <c r="H84">
        <v>-0.40966809999999998</v>
      </c>
      <c r="I84">
        <v>-0.13520161999999999</v>
      </c>
      <c r="J84">
        <v>1.1146725</v>
      </c>
      <c r="K84">
        <v>0.82219030000000004</v>
      </c>
      <c r="L84">
        <v>-9.5948500000000006E-2</v>
      </c>
      <c r="M84">
        <v>0.35767444999999998</v>
      </c>
      <c r="O84">
        <f t="shared" si="10"/>
        <v>1.8891278551466253</v>
      </c>
      <c r="P84">
        <f t="shared" si="11"/>
        <v>1.509275650183995</v>
      </c>
      <c r="Q84">
        <f t="shared" si="12"/>
        <v>1.1530243010118524</v>
      </c>
      <c r="R84">
        <f t="shared" si="13"/>
        <v>3.2198560326556507</v>
      </c>
      <c r="S84" s="4">
        <f t="shared" si="14"/>
        <v>0.6094184755870895</v>
      </c>
    </row>
    <row r="85" spans="1:19" x14ac:dyDescent="0.25">
      <c r="A85">
        <v>-1.1180333</v>
      </c>
      <c r="B85">
        <v>-1.8671738</v>
      </c>
      <c r="C85">
        <v>-1.0930594</v>
      </c>
      <c r="D85">
        <v>1.1931031999999999</v>
      </c>
      <c r="E85">
        <v>0.30824067999999999</v>
      </c>
      <c r="F85">
        <v>0.64093137</v>
      </c>
      <c r="G85">
        <v>0.42303776999999998</v>
      </c>
      <c r="H85">
        <v>1.1348851</v>
      </c>
      <c r="I85">
        <v>0.84316884999999997</v>
      </c>
      <c r="J85">
        <v>-1.2657427000000001</v>
      </c>
      <c r="K85">
        <v>-0.4857959</v>
      </c>
      <c r="L85">
        <v>-9.5948500000000006E-2</v>
      </c>
      <c r="M85">
        <v>0</v>
      </c>
      <c r="O85" s="4">
        <f t="shared" si="10"/>
        <v>0.79634267003710146</v>
      </c>
      <c r="P85">
        <f t="shared" si="11"/>
        <v>1.5079714286911841</v>
      </c>
      <c r="Q85">
        <f t="shared" si="12"/>
        <v>0.93388820905901104</v>
      </c>
      <c r="R85">
        <f t="shared" si="13"/>
        <v>-2.3994474127913907</v>
      </c>
      <c r="S85">
        <f t="shared" si="14"/>
        <v>3.5467525999013061</v>
      </c>
    </row>
    <row r="86" spans="1:19" x14ac:dyDescent="0.25">
      <c r="A86">
        <v>-0.2597661</v>
      </c>
      <c r="B86">
        <v>-1.0476810000000001</v>
      </c>
      <c r="C86">
        <v>-1.0930594</v>
      </c>
      <c r="D86">
        <v>1.7058519999999999</v>
      </c>
      <c r="E86">
        <v>0.30824067999999999</v>
      </c>
      <c r="F86">
        <v>-1.4254670000000001E-2</v>
      </c>
      <c r="G86">
        <v>0.40623431999999998</v>
      </c>
      <c r="H86">
        <v>0.12663506999999999</v>
      </c>
      <c r="I86">
        <v>0.25614654999999997</v>
      </c>
      <c r="J86">
        <v>-0.13817752999999999</v>
      </c>
      <c r="K86">
        <v>0.53784542999999996</v>
      </c>
      <c r="L86">
        <v>-9.5948500000000006E-2</v>
      </c>
      <c r="M86">
        <v>0</v>
      </c>
      <c r="O86">
        <f t="shared" si="10"/>
        <v>1.1164209600671016</v>
      </c>
      <c r="P86">
        <f t="shared" si="11"/>
        <v>1.5171660662656055</v>
      </c>
      <c r="Q86">
        <f t="shared" si="12"/>
        <v>1.1890608624251231</v>
      </c>
      <c r="R86">
        <f t="shared" si="13"/>
        <v>-1.2058441539457689</v>
      </c>
      <c r="S86" s="4">
        <f t="shared" si="14"/>
        <v>0.75559000864804871</v>
      </c>
    </row>
    <row r="87" spans="1:19" x14ac:dyDescent="0.25">
      <c r="A87">
        <v>1.4567683</v>
      </c>
      <c r="B87">
        <v>1.4107976</v>
      </c>
      <c r="C87">
        <v>-1.0930594</v>
      </c>
      <c r="D87">
        <v>-0.85789210000000005</v>
      </c>
      <c r="E87">
        <v>0.30824067999999999</v>
      </c>
      <c r="F87">
        <v>1.5018522000000001</v>
      </c>
      <c r="G87">
        <v>0.48205480000000001</v>
      </c>
      <c r="H87">
        <v>-0.17369470000000001</v>
      </c>
      <c r="I87">
        <v>1.1633627</v>
      </c>
      <c r="J87">
        <v>-0.95253010000000005</v>
      </c>
      <c r="K87">
        <v>-1.2250924000000001</v>
      </c>
      <c r="L87">
        <v>-9.5948500000000006E-2</v>
      </c>
      <c r="M87">
        <v>0.80200159999999998</v>
      </c>
      <c r="O87">
        <f t="shared" si="10"/>
        <v>1.6612197731871017</v>
      </c>
      <c r="P87">
        <f t="shared" si="11"/>
        <v>1.5104208399995973</v>
      </c>
      <c r="Q87" s="4">
        <f t="shared" si="12"/>
        <v>1.0815490958224354</v>
      </c>
      <c r="R87">
        <f t="shared" si="13"/>
        <v>-5.2310427751035942</v>
      </c>
      <c r="S87">
        <f t="shared" si="14"/>
        <v>2.3064786653635574</v>
      </c>
    </row>
    <row r="88" spans="1:19" x14ac:dyDescent="0.25">
      <c r="A88">
        <v>-0.6888997</v>
      </c>
      <c r="B88">
        <v>-0.22818807999999999</v>
      </c>
      <c r="C88">
        <v>1.1823112</v>
      </c>
      <c r="D88">
        <v>-1.3706408999999999</v>
      </c>
      <c r="E88">
        <v>0.59916449999999999</v>
      </c>
      <c r="F88">
        <v>0.46051782000000002</v>
      </c>
      <c r="G88">
        <v>0.65131890000000003</v>
      </c>
      <c r="H88">
        <v>1.0490766</v>
      </c>
      <c r="I88">
        <v>-6.4047409999999999E-2</v>
      </c>
      <c r="J88">
        <v>0.30031999999999998</v>
      </c>
      <c r="K88">
        <v>-0.20145108</v>
      </c>
      <c r="L88">
        <v>-9.5948500000000006E-2</v>
      </c>
      <c r="M88">
        <v>3.6076693999999998</v>
      </c>
      <c r="O88">
        <f t="shared" si="10"/>
        <v>1.7899612414986341</v>
      </c>
      <c r="P88">
        <f t="shared" si="11"/>
        <v>1.5425399246370088</v>
      </c>
      <c r="Q88">
        <f t="shared" si="12"/>
        <v>1.2453643703320791</v>
      </c>
      <c r="R88" s="4">
        <f t="shared" si="13"/>
        <v>4.5242406317268822</v>
      </c>
      <c r="S88">
        <f t="shared" si="14"/>
        <v>2.0863160125999078</v>
      </c>
    </row>
    <row r="89" spans="1:19" x14ac:dyDescent="0.25">
      <c r="A89">
        <v>1.4567683</v>
      </c>
      <c r="B89">
        <v>1.4107976</v>
      </c>
      <c r="C89">
        <v>1.1823112</v>
      </c>
      <c r="D89">
        <v>1.1931031999999999</v>
      </c>
      <c r="E89">
        <v>4.156054E-2</v>
      </c>
      <c r="F89">
        <v>0.27535652999999999</v>
      </c>
      <c r="G89">
        <v>0.56402289999999999</v>
      </c>
      <c r="H89">
        <v>-0.43112022</v>
      </c>
      <c r="I89">
        <v>-1.0424179</v>
      </c>
      <c r="J89">
        <v>1.1773150999999999</v>
      </c>
      <c r="K89">
        <v>0.82219030000000004</v>
      </c>
      <c r="L89">
        <v>-9.5948500000000006E-2</v>
      </c>
      <c r="M89">
        <v>0</v>
      </c>
      <c r="O89">
        <f t="shared" si="10"/>
        <v>1.7969175042736454</v>
      </c>
      <c r="P89">
        <f t="shared" si="11"/>
        <v>1.5557706812852647</v>
      </c>
      <c r="Q89">
        <f t="shared" si="12"/>
        <v>1.076503104271471</v>
      </c>
      <c r="R89">
        <f t="shared" si="13"/>
        <v>-0.4411174845334731</v>
      </c>
      <c r="S89" s="4">
        <f t="shared" si="14"/>
        <v>-8.2564408788890375E-2</v>
      </c>
    </row>
    <row r="90" spans="1:19" x14ac:dyDescent="0.25">
      <c r="A90">
        <v>0.59850110000000001</v>
      </c>
      <c r="B90">
        <v>0.59130479999999996</v>
      </c>
      <c r="C90">
        <v>0.27216297</v>
      </c>
      <c r="D90">
        <v>0.68035436000000005</v>
      </c>
      <c r="E90">
        <v>1.7316893E-2</v>
      </c>
      <c r="F90">
        <v>-1.4749713</v>
      </c>
      <c r="G90">
        <v>-2.1491213</v>
      </c>
      <c r="H90">
        <v>-0.21659896000000001</v>
      </c>
      <c r="I90">
        <v>-1.8251143000000001</v>
      </c>
      <c r="J90">
        <v>0.42560500000000001</v>
      </c>
      <c r="K90">
        <v>1.0496662000000001</v>
      </c>
      <c r="L90">
        <v>-9.5948500000000006E-2</v>
      </c>
      <c r="M90">
        <v>0</v>
      </c>
      <c r="O90">
        <f t="shared" si="10"/>
        <v>1.1332287266404593</v>
      </c>
      <c r="P90">
        <f t="shared" si="11"/>
        <v>1.5418899042873109</v>
      </c>
      <c r="Q90">
        <f t="shared" si="12"/>
        <v>1.0787063055786952</v>
      </c>
      <c r="R90">
        <f t="shared" si="13"/>
        <v>1.4670030354646038</v>
      </c>
      <c r="S90" s="4">
        <f t="shared" si="14"/>
        <v>-0.52777137951475206</v>
      </c>
    </row>
    <row r="91" spans="1:19" x14ac:dyDescent="0.25">
      <c r="A91">
        <v>1.0276346000000001</v>
      </c>
      <c r="B91">
        <v>-0.22818807999999999</v>
      </c>
      <c r="C91">
        <v>-0.18291114</v>
      </c>
      <c r="D91">
        <v>-0.34514329999999999</v>
      </c>
      <c r="E91">
        <v>0.18702242999999999</v>
      </c>
      <c r="F91">
        <v>-0.12503491</v>
      </c>
      <c r="G91">
        <v>-0.32819989999999999</v>
      </c>
      <c r="H91">
        <v>-2.0776879999999998E-3</v>
      </c>
      <c r="I91">
        <v>0.94990015000000005</v>
      </c>
      <c r="J91">
        <v>-0.8898876</v>
      </c>
      <c r="K91">
        <v>-1.2250924000000001</v>
      </c>
      <c r="L91">
        <v>-9.5948500000000006E-2</v>
      </c>
      <c r="M91">
        <v>0</v>
      </c>
      <c r="O91">
        <f t="shared" si="10"/>
        <v>1.6143407205681821</v>
      </c>
      <c r="P91">
        <f t="shared" si="11"/>
        <v>1.5320000806268526</v>
      </c>
      <c r="Q91" s="4">
        <f t="shared" si="12"/>
        <v>1.1656254247192896</v>
      </c>
      <c r="R91">
        <f t="shared" si="13"/>
        <v>-2.345394899134412</v>
      </c>
      <c r="S91">
        <f t="shared" si="14"/>
        <v>1.5436976300585998</v>
      </c>
    </row>
    <row r="92" spans="1:19" x14ac:dyDescent="0.25">
      <c r="A92">
        <v>0.59850110000000001</v>
      </c>
      <c r="B92">
        <v>-1.0476810000000001</v>
      </c>
      <c r="C92">
        <v>1.1823112</v>
      </c>
      <c r="D92">
        <v>0.16760554999999999</v>
      </c>
      <c r="E92">
        <v>0.38097164</v>
      </c>
      <c r="F92">
        <v>-9.9713709999999997E-2</v>
      </c>
      <c r="G92">
        <v>0.83246845000000003</v>
      </c>
      <c r="H92">
        <v>0.19099145000000001</v>
      </c>
      <c r="I92">
        <v>1.0388428999999999</v>
      </c>
      <c r="J92">
        <v>-1.0151726000000001</v>
      </c>
      <c r="K92">
        <v>-1.2250924000000001</v>
      </c>
      <c r="L92">
        <v>-9.5948500000000006E-2</v>
      </c>
      <c r="M92">
        <v>2.7271990000000002</v>
      </c>
      <c r="O92" s="4">
        <f t="shared" si="10"/>
        <v>1.6624748715210769</v>
      </c>
      <c r="P92">
        <f t="shared" si="11"/>
        <v>1.5432465076991841</v>
      </c>
      <c r="Q92">
        <f t="shared" si="12"/>
        <v>1.4684253566045371</v>
      </c>
      <c r="R92">
        <f t="shared" si="13"/>
        <v>-1.3777442960483146</v>
      </c>
      <c r="S92">
        <f t="shared" si="14"/>
        <v>1.5480733581287345</v>
      </c>
    </row>
    <row r="93" spans="1:19" x14ac:dyDescent="0.25">
      <c r="A93">
        <v>-1.5471668000000001</v>
      </c>
      <c r="B93">
        <v>-1.8671738</v>
      </c>
      <c r="C93">
        <v>-1.0930594</v>
      </c>
      <c r="D93">
        <v>1.7058519999999999</v>
      </c>
      <c r="E93">
        <v>1.1325247000000001</v>
      </c>
      <c r="F93">
        <v>-0.19308564</v>
      </c>
      <c r="G93">
        <v>-0.17082112999999999</v>
      </c>
      <c r="H93">
        <v>0.89891160000000003</v>
      </c>
      <c r="I93">
        <v>0.7720146</v>
      </c>
      <c r="J93">
        <v>-0.82724509999999996</v>
      </c>
      <c r="K93">
        <v>0.31036960000000002</v>
      </c>
      <c r="L93">
        <v>-9.5948500000000006E-2</v>
      </c>
      <c r="M93">
        <v>0.43825491999999999</v>
      </c>
      <c r="O93" s="4">
        <f t="shared" si="10"/>
        <v>0.81118417247889552</v>
      </c>
      <c r="P93">
        <f t="shared" si="11"/>
        <v>1.5123092237079052</v>
      </c>
      <c r="Q93">
        <f t="shared" si="12"/>
        <v>0.91875469533204224</v>
      </c>
      <c r="R93">
        <f t="shared" si="13"/>
        <v>-0.86981955039759207</v>
      </c>
      <c r="S93">
        <f t="shared" si="14"/>
        <v>3.1416533632355064</v>
      </c>
    </row>
    <row r="94" spans="1:19" x14ac:dyDescent="0.25">
      <c r="A94">
        <v>-0.2597661</v>
      </c>
      <c r="B94">
        <v>-0.22818807999999999</v>
      </c>
      <c r="C94">
        <v>1.1823112</v>
      </c>
      <c r="D94">
        <v>-1.3706408999999999</v>
      </c>
      <c r="E94">
        <v>0.30824067999999999</v>
      </c>
      <c r="F94">
        <v>-0.20732881</v>
      </c>
      <c r="G94">
        <v>0.78000884999999998</v>
      </c>
      <c r="H94">
        <v>0.12663506999999999</v>
      </c>
      <c r="I94">
        <v>-0.63328110000000004</v>
      </c>
      <c r="J94">
        <v>0.55088999999999999</v>
      </c>
      <c r="K94">
        <v>1.3340110000000001</v>
      </c>
      <c r="L94">
        <v>-9.5948500000000006E-2</v>
      </c>
      <c r="M94">
        <v>2.1174594999999998</v>
      </c>
      <c r="O94" s="4">
        <f t="shared" si="10"/>
        <v>1.6959600308771214</v>
      </c>
      <c r="P94">
        <f t="shared" si="11"/>
        <v>1.5368351605638997</v>
      </c>
      <c r="Q94">
        <f t="shared" si="12"/>
        <v>1.2921977387815375</v>
      </c>
      <c r="R94">
        <f t="shared" si="13"/>
        <v>5.5618426073697353</v>
      </c>
      <c r="S94">
        <f t="shared" si="14"/>
        <v>0.52839396032941921</v>
      </c>
    </row>
    <row r="95" spans="1:19" x14ac:dyDescent="0.25">
      <c r="A95">
        <v>-1.1180333</v>
      </c>
      <c r="B95">
        <v>0.59130479999999996</v>
      </c>
      <c r="C95">
        <v>-1.0930594</v>
      </c>
      <c r="D95">
        <v>-0.34514329999999999</v>
      </c>
      <c r="E95">
        <v>0.69613910000000001</v>
      </c>
      <c r="F95">
        <v>1.8832526000000001</v>
      </c>
      <c r="G95">
        <v>0.65623699999999996</v>
      </c>
      <c r="H95">
        <v>-0.13079044000000001</v>
      </c>
      <c r="I95">
        <v>-1.0681747E-2</v>
      </c>
      <c r="J95">
        <v>1.2399576000000001</v>
      </c>
      <c r="K95">
        <v>0.53784542999999996</v>
      </c>
      <c r="L95">
        <v>-9.5948500000000006E-2</v>
      </c>
      <c r="M95">
        <v>0</v>
      </c>
      <c r="O95">
        <f t="shared" si="10"/>
        <v>1.5784680261689286</v>
      </c>
      <c r="P95">
        <f t="shared" si="11"/>
        <v>1.4982047988576608</v>
      </c>
      <c r="Q95" s="4">
        <f t="shared" si="12"/>
        <v>1.0440223178142276</v>
      </c>
      <c r="R95">
        <f t="shared" si="13"/>
        <v>3.6626830784367375</v>
      </c>
      <c r="S95">
        <f t="shared" si="14"/>
        <v>1.312119374154088</v>
      </c>
    </row>
    <row r="96" spans="1:19" x14ac:dyDescent="0.25">
      <c r="A96">
        <v>1.0276346000000001</v>
      </c>
      <c r="B96">
        <v>-0.22818807999999999</v>
      </c>
      <c r="C96">
        <v>-1.0930594</v>
      </c>
      <c r="D96">
        <v>0.16760554999999999</v>
      </c>
      <c r="E96">
        <v>0.23550974</v>
      </c>
      <c r="F96">
        <v>0.99701070000000003</v>
      </c>
      <c r="G96">
        <v>0.59721999999999997</v>
      </c>
      <c r="H96">
        <v>1.0276244000000001</v>
      </c>
      <c r="I96">
        <v>0.52297484999999999</v>
      </c>
      <c r="J96">
        <v>1.8037401</v>
      </c>
      <c r="K96">
        <v>2.0733074999999999</v>
      </c>
      <c r="L96">
        <v>10.911477</v>
      </c>
      <c r="M96">
        <v>0</v>
      </c>
      <c r="O96">
        <f t="shared" si="10"/>
        <v>1.8797552744855388</v>
      </c>
      <c r="P96">
        <f t="shared" si="11"/>
        <v>1.1745929972206128</v>
      </c>
      <c r="Q96" s="4">
        <f t="shared" si="12"/>
        <v>1.0523881810998936</v>
      </c>
      <c r="R96">
        <f t="shared" si="13"/>
        <v>5.3984333824327146</v>
      </c>
      <c r="S96">
        <f t="shared" si="14"/>
        <v>3.4350694683604126</v>
      </c>
    </row>
    <row r="97" spans="1:19" x14ac:dyDescent="0.25">
      <c r="A97">
        <v>0.59850110000000001</v>
      </c>
      <c r="B97">
        <v>0.59130479999999996</v>
      </c>
      <c r="C97">
        <v>0.27216297</v>
      </c>
      <c r="D97">
        <v>0.68035436000000005</v>
      </c>
      <c r="E97">
        <v>0.11429149</v>
      </c>
      <c r="F97">
        <v>-1.4480675000000001</v>
      </c>
      <c r="G97">
        <v>-2.0962516999999998</v>
      </c>
      <c r="H97">
        <v>-0.10933832</v>
      </c>
      <c r="I97">
        <v>-1.0068406999999999</v>
      </c>
      <c r="J97">
        <v>-1.0778152000000001</v>
      </c>
      <c r="K97">
        <v>-0.20145108</v>
      </c>
      <c r="L97">
        <v>-9.5948500000000006E-2</v>
      </c>
      <c r="M97">
        <v>2.0294629999999998</v>
      </c>
      <c r="O97">
        <f t="shared" si="10"/>
        <v>0.95613363598234002</v>
      </c>
      <c r="P97" s="4">
        <f t="shared" si="11"/>
        <v>1.5359164798629177</v>
      </c>
      <c r="Q97">
        <f t="shared" si="12"/>
        <v>1.0571239765122862</v>
      </c>
      <c r="R97">
        <f t="shared" si="13"/>
        <v>-2.0032623483447978</v>
      </c>
      <c r="S97">
        <f t="shared" si="14"/>
        <v>-0.10170482062859798</v>
      </c>
    </row>
    <row r="98" spans="1:19" x14ac:dyDescent="0.25">
      <c r="A98">
        <v>0.59850110000000001</v>
      </c>
      <c r="B98">
        <v>0.59130479999999996</v>
      </c>
      <c r="C98">
        <v>4.4625909999999998E-2</v>
      </c>
      <c r="D98">
        <v>-1.3706408999999999</v>
      </c>
      <c r="E98">
        <v>0.4052153</v>
      </c>
      <c r="F98">
        <v>-0.88150569999999995</v>
      </c>
      <c r="G98">
        <v>-0.49869353</v>
      </c>
      <c r="H98">
        <v>-0.40966809999999998</v>
      </c>
      <c r="I98">
        <v>0.75422610000000001</v>
      </c>
      <c r="J98">
        <v>-0.32610506</v>
      </c>
      <c r="K98">
        <v>0.82219030000000004</v>
      </c>
      <c r="L98">
        <v>-9.5948500000000006E-2</v>
      </c>
      <c r="M98">
        <v>0.78390159999999998</v>
      </c>
      <c r="O98">
        <f t="shared" ref="O98:O105" si="15">0.0707*A98 + 0.3513*J98 - 0.148*K98 - 0.0254*L98 + 0.0945*B98 + 0.0838*C98 - 0.1098*D98 - 0.0029*E98 - 0.1695*F98 + 0.121*G98 - 0.0023*H98 + 0.2005*I98 + 0.0034*EXP(1.4292*E98) - 0.0606*SIN(1*L98 + 1.4053) + 1.3522*SIN(2.9197*L98 - 7.644) + 0.0425*SIN(1.9347*C98 - 2.5505) - 0.0088*SIN(3.5081*C98 - 7.7607) + 2.9036</f>
        <v>1.7428246316511518</v>
      </c>
      <c r="P98">
        <f t="shared" ref="P98:P105" si="16">0.004*A98 + 0.0089*J98 - 0.0063*K98 - 0.0327*L98 + 0.0053*B98 + 0.0082*C98 + 0.004*D98 - 0.0011*E98 - 0.0133*F98 + 0.0044*G98 + 0.0111*H98 - 0.0003*I98 - 0.0024*SQRT(1 - 0.8455*C98) + 0.0016*(-0.7809*I98 - 1)^2 + 0.0007*EXP(0.7704*K98) - 0.0167*SIN(2.8038*L98 + 7.9002) - 0.0013*SIN(5.0219*B98 - 0.4098) + 0.0004*SIN(5.0338*B98 + 8.9958) - 0.0011*SIN(0.621*C98 + 1.9102) + 0.0009*SIN(1.1851*C98 + 8.5936) + 0.0008*SIN(9.372*D98 + 9.9998) + 1.5413</f>
        <v>1.5262277799876307</v>
      </c>
      <c r="Q98">
        <f t="shared" ref="Q98:Q105" si="17" xml:space="preserve"> 0.0049*A98 + 0.0177*J98 + 0.0014*K98 - 0.0348*L98 - 0.0318*B98 + 0.0559*C98 - 0.0638*D98 - 0.0014*E98 - 0.0236*F98 + 0.0056*G98 - 0.0317*H98 + 0.013*I98 - 0.001*(-0.743*I98 - 1)^2 - 0.0092*EXP(-0.0775*A98 - 0.0866*J98 + 0.057*K98 - 0.2106*L98 - 0.0888*B98 + 0.1115*C98 + 0.0164*D98 + 0.0019*E98 + 0.0949*F98 - 0.007*G98 - 0.0252*H98 - 0.025*I98) - 0.0327*SIN(0.56*A98 - 4.419) + 0.2232*SIN(2.8002*L98 + 7.9889) - 0.0678*SIN(3.0034*L98 - 5.2083) - 1.163*SIN(8.608*L98 + 9.0216) - 0.0928*SIN(8.6081*L98 + 9.0049) - 0.2564*SIN(8.6081*L98 + 9.0198) - 0.0489*SIN(0.8118*D98 + 5.3891) - 0.0363*SIN(0.4099*G98 + 5.2175) - 0.0005*TAN(2.6158*B98 - 1.9768) - 0.0001*TAN(5.1313*B98 - 2.4811) - 0.0016*TAN(9.4394*B98 + 2.0395) - 0*TAN(9.451*B98 + 2.052) + 2.3482</f>
        <v>1.2442701679763066</v>
      </c>
      <c r="R98">
        <f t="shared" ref="R98:R105" si="18">-1.8317*A98 + 2.233*J98 - 0.4713*K98 + 0.2053*L98 - 0.604*B98 + 0.1096*C98 - 1.4373*D98 - 0.1075*E98 - 1.1536*F98 + 0.3987*G98 - 0.7942*H98 - 0.7312*I98 + 0.0589*EXP(1.6525*C98) + 0.0438*SIN(0.8371*A98 + 5.423) + 10.4162*SIN(2.8042*L98 + 4.687) - 2.371*SIN(8.5999*L98 + 3.0151) - 1.4228*SIN(8.604*L98 + 6.0738) + 0.0348*SIN(0.7277*H98 - 1.031) + 11.7139</f>
        <v>0.98718566807327868</v>
      </c>
      <c r="S98" s="4">
        <f t="shared" ref="S98:S105" si="19">0.0614*A98 - 0.2912*J98 + 0.3615*K98 + 0.0998*L98 - 0.3538*B98 - 0.0546*C98 - 0.2401*D98 - 0.0352*E98 + 0.0743*F98 - 0.6423*G98 + 0.1956*H98 + 0.7758*I98 - 0.057*(-B98 - 0.9558)^2 + 0.0043*EXP(4.2598*C98) + 0.8412*SIN(1.4244*A98 - 2.0027) - 0.2064*SIN(0.6031*J98 - 4.407) + 0.225*SIN(3.0037*L98 - 2.4175) - 0.024*SIN(1.612*C98 - 9.986) + 0.1088*SIN(1.9462*C98 - 1.19519996643066) + 0.0802*SIN(2.8134*D98 + 3.398) - 0.1945*SIN(1.1774*F98 + 8.3903) - 0.7165*SIN(1.5963*F98 - 3.2053) - 0.1861*SIN(1.272*I98 - 9.988) + 1.6536</f>
        <v>0.78087790130667689</v>
      </c>
    </row>
    <row r="99" spans="1:19" x14ac:dyDescent="0.25">
      <c r="A99">
        <v>1.4567683</v>
      </c>
      <c r="B99">
        <v>-1.0476810000000001</v>
      </c>
      <c r="C99">
        <v>1.1823112</v>
      </c>
      <c r="D99">
        <v>0.68035436000000005</v>
      </c>
      <c r="E99">
        <v>0.69613910000000001</v>
      </c>
      <c r="F99">
        <v>-0.49377485999999998</v>
      </c>
      <c r="G99">
        <v>0.53369469999999997</v>
      </c>
      <c r="H99">
        <v>1.9071616</v>
      </c>
      <c r="I99">
        <v>0.75422610000000001</v>
      </c>
      <c r="J99">
        <v>-1.1404576</v>
      </c>
      <c r="K99">
        <v>0.53784542999999996</v>
      </c>
      <c r="L99">
        <v>-9.5948500000000006E-2</v>
      </c>
      <c r="M99">
        <v>3.1949928000000001</v>
      </c>
      <c r="O99">
        <f t="shared" si="15"/>
        <v>1.3339767176484485</v>
      </c>
      <c r="P99">
        <f t="shared" si="16"/>
        <v>1.5589771850801275</v>
      </c>
      <c r="Q99">
        <f t="shared" si="17"/>
        <v>1.3879444092540991</v>
      </c>
      <c r="R99">
        <f t="shared" si="18"/>
        <v>-5.5806850763720188</v>
      </c>
      <c r="S99" s="4">
        <f t="shared" si="19"/>
        <v>2.785344661272938</v>
      </c>
    </row>
    <row r="100" spans="1:19" x14ac:dyDescent="0.25">
      <c r="A100">
        <v>-0.2597661</v>
      </c>
      <c r="B100">
        <v>-1.0476810000000001</v>
      </c>
      <c r="C100">
        <v>0.27216297</v>
      </c>
      <c r="D100">
        <v>-0.85789210000000005</v>
      </c>
      <c r="E100">
        <v>-0.78272355000000005</v>
      </c>
      <c r="F100">
        <v>-0.94797390000000004</v>
      </c>
      <c r="G100">
        <v>-1.849118</v>
      </c>
      <c r="H100">
        <v>-0.86016272999999999</v>
      </c>
      <c r="I100">
        <v>-1.4159774999999999</v>
      </c>
      <c r="J100">
        <v>0.112392485</v>
      </c>
      <c r="K100">
        <v>1.0496662000000001</v>
      </c>
      <c r="L100">
        <v>-9.5948500000000006E-2</v>
      </c>
      <c r="M100">
        <v>3.6336309999999998</v>
      </c>
      <c r="O100">
        <f t="shared" si="15"/>
        <v>1.0069651964607167</v>
      </c>
      <c r="P100">
        <f t="shared" si="16"/>
        <v>1.509690961761786</v>
      </c>
      <c r="Q100">
        <f t="shared" si="17"/>
        <v>1.5335119416757517</v>
      </c>
      <c r="R100" s="4">
        <f t="shared" si="18"/>
        <v>5.3246191142819699</v>
      </c>
      <c r="S100">
        <f t="shared" si="19"/>
        <v>0.5427286739581243</v>
      </c>
    </row>
    <row r="101" spans="1:19" x14ac:dyDescent="0.25">
      <c r="A101">
        <v>1.4567683</v>
      </c>
      <c r="B101">
        <v>1.4107976</v>
      </c>
      <c r="C101">
        <v>-1.0930594</v>
      </c>
      <c r="D101">
        <v>-0.34514329999999999</v>
      </c>
      <c r="E101">
        <v>0.69613910000000001</v>
      </c>
      <c r="F101">
        <v>1.8832526000000001</v>
      </c>
      <c r="G101">
        <v>0.65623699999999996</v>
      </c>
      <c r="H101">
        <v>-0.13079044000000001</v>
      </c>
      <c r="I101">
        <v>-1.0681747E-2</v>
      </c>
      <c r="J101">
        <v>1.2399576000000001</v>
      </c>
      <c r="K101">
        <v>0.53784542999999996</v>
      </c>
      <c r="L101">
        <v>-9.5948500000000006E-2</v>
      </c>
      <c r="M101">
        <v>0</v>
      </c>
      <c r="O101">
        <f t="shared" si="15"/>
        <v>1.8379485688889285</v>
      </c>
      <c r="P101">
        <f t="shared" si="16"/>
        <v>1.5131373043858156</v>
      </c>
      <c r="Q101">
        <f t="shared" si="17"/>
        <v>1.0620060484182197</v>
      </c>
      <c r="R101">
        <f t="shared" si="18"/>
        <v>-1.4904616569713873</v>
      </c>
      <c r="S101" s="4">
        <f t="shared" si="19"/>
        <v>0.68960238225685599</v>
      </c>
    </row>
    <row r="102" spans="1:19" x14ac:dyDescent="0.25">
      <c r="A102">
        <v>1.4567683</v>
      </c>
      <c r="B102">
        <v>1.4107976</v>
      </c>
      <c r="C102">
        <v>-1.0930594</v>
      </c>
      <c r="D102">
        <v>0.68035436000000005</v>
      </c>
      <c r="E102">
        <v>0.18702242999999999</v>
      </c>
      <c r="F102">
        <v>2.1570382000000001</v>
      </c>
      <c r="G102">
        <v>0.81484529999999999</v>
      </c>
      <c r="H102">
        <v>-0.5812851</v>
      </c>
      <c r="I102">
        <v>0.25614654999999997</v>
      </c>
      <c r="J102">
        <v>0.73881750000000002</v>
      </c>
      <c r="K102">
        <v>-0.99761659999999996</v>
      </c>
      <c r="L102">
        <v>-9.5948500000000006E-2</v>
      </c>
      <c r="M102">
        <v>0</v>
      </c>
      <c r="O102">
        <f t="shared" si="15"/>
        <v>1.800589874702714</v>
      </c>
      <c r="P102">
        <f t="shared" si="16"/>
        <v>1.5141180493016324</v>
      </c>
      <c r="Q102">
        <f t="shared" si="17"/>
        <v>0.96758659753796716</v>
      </c>
      <c r="R102">
        <f t="shared" si="18"/>
        <v>-3.3981322959486668</v>
      </c>
      <c r="S102" s="4">
        <f t="shared" si="19"/>
        <v>-0.31684086616739293</v>
      </c>
    </row>
    <row r="103" spans="1:19" x14ac:dyDescent="0.25">
      <c r="A103">
        <v>0.59850110000000001</v>
      </c>
      <c r="B103">
        <v>-1.0476810000000001</v>
      </c>
      <c r="C103">
        <v>1.1823112</v>
      </c>
      <c r="D103">
        <v>0.16760554999999999</v>
      </c>
      <c r="E103">
        <v>0.6476518</v>
      </c>
      <c r="F103">
        <v>0.58870639999999996</v>
      </c>
      <c r="G103">
        <v>0.71156549999999996</v>
      </c>
      <c r="H103">
        <v>-0.19514682999999999</v>
      </c>
      <c r="I103">
        <v>0.68307185000000004</v>
      </c>
      <c r="J103">
        <v>-0.32610506</v>
      </c>
      <c r="K103">
        <v>-0.20145108</v>
      </c>
      <c r="L103">
        <v>-9.5948500000000006E-2</v>
      </c>
      <c r="M103">
        <v>0</v>
      </c>
      <c r="O103">
        <f t="shared" si="15"/>
        <v>1.5532306236247724</v>
      </c>
      <c r="P103">
        <f t="shared" si="16"/>
        <v>1.5276097862448561</v>
      </c>
      <c r="Q103">
        <f t="shared" si="17"/>
        <v>1.4735979648879973</v>
      </c>
      <c r="R103" s="4">
        <f t="shared" si="18"/>
        <v>-0.63071801388016091</v>
      </c>
      <c r="S103">
        <f t="shared" si="19"/>
        <v>2.2263313871793198</v>
      </c>
    </row>
    <row r="104" spans="1:19" x14ac:dyDescent="0.25">
      <c r="A104">
        <v>1.0276346000000001</v>
      </c>
      <c r="B104">
        <v>-0.22818807999999999</v>
      </c>
      <c r="C104">
        <v>-1.0930594</v>
      </c>
      <c r="D104">
        <v>0.16760554999999999</v>
      </c>
      <c r="E104">
        <v>0.13853514</v>
      </c>
      <c r="F104">
        <v>0.47950870000000001</v>
      </c>
      <c r="G104">
        <v>0.19024836000000001</v>
      </c>
      <c r="H104">
        <v>0.34115633000000001</v>
      </c>
      <c r="I104">
        <v>0.20278089999999999</v>
      </c>
      <c r="J104">
        <v>-0.32610506</v>
      </c>
      <c r="K104">
        <v>0.82219030000000004</v>
      </c>
      <c r="L104">
        <v>-9.5948500000000006E-2</v>
      </c>
      <c r="M104">
        <v>1.3190856</v>
      </c>
      <c r="O104" s="4">
        <f t="shared" si="15"/>
        <v>1.2240138963477414</v>
      </c>
      <c r="P104">
        <f t="shared" si="16"/>
        <v>1.5136021909451496</v>
      </c>
      <c r="Q104">
        <f t="shared" si="17"/>
        <v>1.0492252862908158</v>
      </c>
      <c r="R104">
        <f t="shared" si="18"/>
        <v>-3.1283890943311548</v>
      </c>
      <c r="S104">
        <f t="shared" si="19"/>
        <v>1.8372593995405739</v>
      </c>
    </row>
    <row r="105" spans="1:19" x14ac:dyDescent="0.25">
      <c r="A105">
        <v>-0.2597661</v>
      </c>
      <c r="B105">
        <v>0.59130479999999996</v>
      </c>
      <c r="C105">
        <v>1.1823112</v>
      </c>
      <c r="D105">
        <v>-0.34514329999999999</v>
      </c>
      <c r="E105">
        <v>0.4052153</v>
      </c>
      <c r="F105">
        <v>-0.38141206</v>
      </c>
      <c r="G105">
        <v>0.58861333000000005</v>
      </c>
      <c r="H105">
        <v>-0.40966809999999998</v>
      </c>
      <c r="I105">
        <v>0.23835799999999999</v>
      </c>
      <c r="J105">
        <v>4.9749979999999999E-2</v>
      </c>
      <c r="K105">
        <v>-0.4857959</v>
      </c>
      <c r="L105">
        <v>-9.5948500000000006E-2</v>
      </c>
      <c r="M105">
        <v>0</v>
      </c>
      <c r="O105">
        <f t="shared" si="15"/>
        <v>1.93693279617944</v>
      </c>
      <c r="P105">
        <f t="shared" si="16"/>
        <v>1.5457702781072389</v>
      </c>
      <c r="Q105">
        <f t="shared" si="17"/>
        <v>1.217160402044221</v>
      </c>
      <c r="R105">
        <f t="shared" si="18"/>
        <v>3.2285190162870219</v>
      </c>
      <c r="S105" s="4">
        <f t="shared" si="19"/>
        <v>6.7014678689569118E-2</v>
      </c>
    </row>
    <row r="106" spans="1:19" x14ac:dyDescent="0.25">
      <c r="O106" s="1"/>
      <c r="P106" s="1"/>
      <c r="Q106" s="1"/>
      <c r="R106" s="1"/>
      <c r="S106" s="1"/>
    </row>
    <row r="107" spans="1:19" x14ac:dyDescent="0.25">
      <c r="M107" t="s">
        <v>18</v>
      </c>
      <c r="O107" s="1">
        <v>19</v>
      </c>
      <c r="P107" s="1">
        <v>7</v>
      </c>
      <c r="Q107" s="1">
        <v>22</v>
      </c>
      <c r="R107" s="1">
        <v>15</v>
      </c>
      <c r="S107" s="1">
        <v>41</v>
      </c>
    </row>
    <row r="109" spans="1:19" x14ac:dyDescent="0.25">
      <c r="O109" s="1"/>
      <c r="P109" s="1"/>
      <c r="Q109" s="1"/>
      <c r="R109" s="1"/>
      <c r="S109" s="1"/>
    </row>
  </sheetData>
  <phoneticPr fontId="1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sample_predictions_Forest Fires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Antonius Miquel</dc:creator>
  <cp:lastModifiedBy>Antonius Miquel</cp:lastModifiedBy>
  <dcterms:created xsi:type="dcterms:W3CDTF">2025-04-27T12:00:06Z</dcterms:created>
  <dcterms:modified xsi:type="dcterms:W3CDTF">2025-04-29T23:36:48Z</dcterms:modified>
</cp:coreProperties>
</file>