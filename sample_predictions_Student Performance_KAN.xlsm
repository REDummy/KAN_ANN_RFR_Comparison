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on\PycharmProjects\Thesis\"/>
    </mc:Choice>
  </mc:AlternateContent>
  <xr:revisionPtr revIDLastSave="0" documentId="13_ncr:1_{C0BF09BF-1B3B-4153-A77D-4E4E8C487F42}" xr6:coauthVersionLast="47" xr6:coauthVersionMax="47" xr10:uidLastSave="{00000000-0000-0000-0000-000000000000}"/>
  <bookViews>
    <workbookView xWindow="-120" yWindow="-120" windowWidth="29040" windowHeight="15720" xr2:uid="{08290DF3-A57D-4C15-AB21-5624638871AB}"/>
  </bookViews>
  <sheets>
    <sheet name="sample_predictions_Student Perf" sheetId="1" r:id="rId1"/>
  </sheet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2" i="1" l="1"/>
  <c r="AK78" i="1"/>
  <c r="AM2" i="1"/>
  <c r="AM3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L3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K2" i="1"/>
  <c r="AK3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9" i="1"/>
  <c r="AK80" i="1"/>
  <c r="AJ2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I2" i="1"/>
  <c r="AI3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Antonius Miquel</author>
  </authors>
  <commentList>
    <comment ref="AL2" authorId="0" shapeId="0" xr:uid="{2EE55C08-9C97-4E31-BF89-99EBDB6F95A3}">
      <text>
        <r>
          <rPr>
            <b/>
            <sz val="9"/>
            <color indexed="81"/>
            <rFont val="Tahoma"/>
            <family val="2"/>
          </rPr>
          <t>Antonius Miquel:</t>
        </r>
        <r>
          <rPr>
            <sz val="9"/>
            <color indexed="81"/>
            <rFont val="Tahoma"/>
            <family val="2"/>
          </rPr>
          <t xml:space="preserve">
#NUM! error due to negative input for LN()
</t>
        </r>
      </text>
    </comment>
  </commentList>
</comments>
</file>

<file path=xl/sharedStrings.xml><?xml version="1.0" encoding="utf-8"?>
<sst xmlns="http://schemas.openxmlformats.org/spreadsheetml/2006/main" count="40" uniqueCount="40">
  <si>
    <t>Feature_0</t>
  </si>
  <si>
    <t>Feature_1</t>
  </si>
  <si>
    <t>Feature_2</t>
  </si>
  <si>
    <t>Feature_3</t>
  </si>
  <si>
    <t>Feature_4</t>
  </si>
  <si>
    <t>Feature_5</t>
  </si>
  <si>
    <t>Feature_6</t>
  </si>
  <si>
    <t>Feature_7</t>
  </si>
  <si>
    <t>Feature_8</t>
  </si>
  <si>
    <t>Feature_9</t>
  </si>
  <si>
    <t>Feature_10</t>
  </si>
  <si>
    <t>Feature_11</t>
  </si>
  <si>
    <t>Feature_12</t>
  </si>
  <si>
    <t>Feature_13</t>
  </si>
  <si>
    <t>Feature_14</t>
  </si>
  <si>
    <t>Feature_15</t>
  </si>
  <si>
    <t>Feature_16</t>
  </si>
  <si>
    <t>Feature_17</t>
  </si>
  <si>
    <t>Feature_18</t>
  </si>
  <si>
    <t>Feature_19</t>
  </si>
  <si>
    <t>Feature_20</t>
  </si>
  <si>
    <t>Feature_21</t>
  </si>
  <si>
    <t>Feature_22</t>
  </si>
  <si>
    <t>Feature_23</t>
  </si>
  <si>
    <t>Feature_24</t>
  </si>
  <si>
    <t>Feature_25</t>
  </si>
  <si>
    <t>Feature_26</t>
  </si>
  <si>
    <t>Feature_27</t>
  </si>
  <si>
    <t>Feature_28</t>
  </si>
  <si>
    <t>Feature_29</t>
  </si>
  <si>
    <t>Feature_30</t>
  </si>
  <si>
    <t>Feature_31</t>
  </si>
  <si>
    <t>Actual</t>
  </si>
  <si>
    <t>Predicted</t>
  </si>
  <si>
    <t>Scenario 1</t>
  </si>
  <si>
    <t>Scenario 2</t>
  </si>
  <si>
    <t>Scenario 3</t>
  </si>
  <si>
    <t>Scenario 4</t>
  </si>
  <si>
    <t>Scenario 5</t>
  </si>
  <si>
    <t>Green Count: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</si>
</sst>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.8000000000000007"/>
      <name val="JetBrains Mono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0EE9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8" fillId="0" borderId="0" xfId="0" applyFont="1" applyAlignment="1">
      <alignment vertical="center"/>
    </xf>
    <xf numFmtId="0" fontId="18" fillId="33" borderId="0" xfId="0" applyFont="1" applyFill="1" applyAlignment="1">
      <alignment vertical="center"/>
    </xf>
    <xf numFmtId="0" fontId="0" fillId="33" borderId="0" xfId="0" applyFill="1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338859-986B-4FB5-8F24-AC09EDDAF907}" name="Table1" displayName="Table1" ref="A1:AM80" totalsRowShown="0">
  <autoFilter ref="A1:AM80" xr:uid="{79338859-986B-4FB5-8F24-AC09EDDAF907}"/>
  <tableColumns count="39">
    <tableColumn id="1" xr3:uid="{74C5FEEC-BE0D-4286-9099-BC393FA4A9D5}" name="Feature_0"/>
    <tableColumn id="2" xr3:uid="{A05CA7AC-419D-49D8-B41A-1792861A81D4}" name="Feature_1"/>
    <tableColumn id="3" xr3:uid="{7D478FBB-E4DB-4B66-9277-FCB8F976B7D4}" name="Feature_2"/>
    <tableColumn id="4" xr3:uid="{744D49E9-BAA7-4246-930C-71FD59E303E1}" name="Feature_3"/>
    <tableColumn id="5" xr3:uid="{C565BAED-025D-4872-AFFC-5A79C57F26CC}" name="Feature_4"/>
    <tableColumn id="6" xr3:uid="{47C1FFC0-84FA-46A6-819B-C2ADC3740266}" name="Feature_5"/>
    <tableColumn id="7" xr3:uid="{AD9C75C2-0AD5-4B05-A7EA-DD5A185B982F}" name="Feature_6"/>
    <tableColumn id="8" xr3:uid="{8B424354-03EF-4E03-BB1C-2AB2D1394F7C}" name="Feature_7"/>
    <tableColumn id="9" xr3:uid="{C6CA1626-A8AF-4E34-BF70-01F989582102}" name="Feature_8"/>
    <tableColumn id="10" xr3:uid="{C31657A0-3C62-46BA-BAB1-3E2B86AEA19A}" name="Feature_9"/>
    <tableColumn id="11" xr3:uid="{D83CAADF-519D-4362-BAA3-EAE219DFF908}" name="Feature_10"/>
    <tableColumn id="12" xr3:uid="{095020BA-7613-4F58-8387-65D7C681499D}" name="Feature_11"/>
    <tableColumn id="13" xr3:uid="{49FFF73F-AD56-47AE-BFD4-04B317DCF9ED}" name="Feature_12"/>
    <tableColumn id="14" xr3:uid="{6BD1B58E-7002-4AFD-9B0D-B01ABB7CED49}" name="Feature_13"/>
    <tableColumn id="15" xr3:uid="{1821BEC4-E29A-4092-84C9-494C5E176467}" name="Feature_14"/>
    <tableColumn id="16" xr3:uid="{C780A03A-5A14-4034-9CFC-A383769C8FF5}" name="Feature_15"/>
    <tableColumn id="17" xr3:uid="{523E2112-FDC8-4BF5-839C-A4CCA3E5B5D2}" name="Feature_16"/>
    <tableColumn id="18" xr3:uid="{E6731D7F-52CC-4C6B-BC62-5CDC39EF189D}" name="Feature_17"/>
    <tableColumn id="19" xr3:uid="{6964A550-CC2B-43F5-AD13-F61004885193}" name="Feature_18"/>
    <tableColumn id="20" xr3:uid="{8DBC71BE-FF44-4FFE-93C5-BF6F212B08EA}" name="Feature_19"/>
    <tableColumn id="21" xr3:uid="{195CA0CB-B8C6-494D-A3A1-28447BD55993}" name="Feature_20"/>
    <tableColumn id="22" xr3:uid="{640F604A-C15D-4D69-9036-9A5BD865B559}" name="Feature_21"/>
    <tableColumn id="23" xr3:uid="{989994EA-3DC5-40D3-9472-2D46ACADEB99}" name="Feature_22"/>
    <tableColumn id="24" xr3:uid="{6C05D4BD-C48D-416A-B47C-2A0911E2045B}" name="Feature_23"/>
    <tableColumn id="25" xr3:uid="{3F92E1F6-B794-49DE-8D7C-AE543F602457}" name="Feature_24"/>
    <tableColumn id="26" xr3:uid="{78924962-849B-45C4-B0C3-84394D83A65B}" name="Feature_25"/>
    <tableColumn id="27" xr3:uid="{F9079D51-2B54-4780-B43F-5298EC770E10}" name="Feature_26"/>
    <tableColumn id="28" xr3:uid="{C8EFE160-8363-4B6E-8792-97EEC0E50B92}" name="Feature_27"/>
    <tableColumn id="29" xr3:uid="{CD4DADBA-D705-4517-8B5E-7C92F9E01987}" name="Feature_28"/>
    <tableColumn id="30" xr3:uid="{DF2AFD8F-2FD2-4163-99B5-F69385D0EE42}" name="Feature_29"/>
    <tableColumn id="31" xr3:uid="{49730511-9A0C-416C-B4B0-E38AAB1C1A59}" name="Feature_30"/>
    <tableColumn id="32" xr3:uid="{CA8C1FEA-7062-4166-BCA7-3A31DB8E360A}" name="Feature_31"/>
    <tableColumn id="33" xr3:uid="{EFEDBB79-6C94-4ACB-8A6D-DE1C7457CFFD}" name="Actual"/>
    <tableColumn id="34" xr3:uid="{92EC3BF5-0628-4440-B5E2-A4605FAE7F28}" name="Predicted"/>
    <tableColumn id="35" xr3:uid="{A753DC0B-74C6-4F4E-802B-2F15DAC5789C}" name="Scenario 1" dataDxfId="4">
      <calculatedColumnFormula xml:space="preserve"> 0.0159*A2 - 0.0105*J2 + 0.0013*K2 + 0.0217*O2 + 0.0245*P2 + 0.0216*Q2 - 0.0096*R2 - 0.0537*S2 - 0.0204*B2 - 0.0101*T2 - 0.008*U2 + 0.0067*V2 - 0.0285*W2 + 0.0114*X2 + 0.0004*Y2 + 0.0191*Z2 - 0.0037*AA2 - 0.0008*AB2 + 0.0614*AC2 - 0.0618*C2 + 0.1007*AD2 + 0.0536*AE2 + 0.0767*AF2 - 0.0061*D2 + 0.0125*E2 + 0.0078*F2 + 0.0013*I2 - 0.0046*(-L2 - 0.6204)^2 - 0.0001*(-L2 - 0.5761)^2 + 0.0138*(-L2 - 0.3339)^2 - 0.0019*(-0.8817*L2 - 1)^2 + 0.0012*(-0.565*N2 - 1)^2 + 0.0061*SQRT(O2 + 0.6503) - 0.0019*(-G2 - 0.9835)^2 - 0.0006*EXP(0.9686*J2) - 0.0002*EXP(3.6063*I2) - 0.3496*EXP(0.024*A2 - 0.017*J2 - 0.0221*Q2 + 0.011*R2 - 0.0018*S2 + 0.0415*B2 - 0.0107*T2 + 0.0472*U2 - 0.0267*V2 - 0.0199*W2 - 0.0193*Y2 + 0.0103*Z2 - 0.0021*AC2 + 0.0843*AD2 - 0.1335*AE2 - 0.0307*D2 + 0.0214*E2 - 0.0027*F2 - 0.0102*G2 - 0.0448*I2 - 0.0391*(0.2922 - M2)^2 - 0.2317*(-0.1484*L2 - 1)^2 - 0.0705*SIN(2.9295*K2 + 8.9969) - 0.2731*SIN(3.6118*N2 + 1.3717) - 0.2553*SIN(8.3905*O2 + 0.5993) + 0.0792*SIN(8.0194*X2 - 5.3792) - 0.4156*SIN(4.9622*AA2 - 1.5814) - 0.3407*SIN(7.0398*AB2 + 6.4012) - 0.1278*SIN(8.8108*C2 - 2.3698) + 1.2712*SIN(0.6319*AF2 + 9.0186) - 0.1015*SIN(1.1983*H2 - 9.0053) + 0.0007*EXP(-3.4345*P2)) - 0.0033*SIN(4.1586*K2 - 9.3343) + 0.0009*SIN(9.1776*K2 + 9.5928) + 0.0135*SIN(9.805*K2 + 7.2038) - 0.0022*SIN(0.8*M2 - 9.9999) - 0.0088*SIN(3.5982*M2 - 5.395) - 0.0519*SIN(4.9856*M2 - 4.3637) - 0.041*SIN(7.7498*M2 - 8.9534) + 0.0104*SIN(0.8143*N2 - 9.2128) - 0.0835*SIN(5.804*N2 - 0.8051) - 0.1136*SIN(8.8014*N2 + 1.8034) + 0.0083*SIN(8.8162*O2 + 6.0024) - 0.0125*SIN(7.8403*X2 - 5.1898) - 0.0273*SIN(4.3632*Y2 - 3.599) - 0.0009*SIN(2.6208*Z2 + 5.605) - 0.0668*SIN(0.7881*AA2 + 0.9987) + 0.0039*SIN(5.9578*AA2 + 4.623) - 0.0292*SIN(9.1993*AB2 - 3.1862) - 0.0053*SIN(8.6105*C2 - 2.1704) + 0.0027*SIN(1.127*AE2 + 6.4227) + 0.0171*SIN(0.6208*AF2 + 5.8126) + 0.0031*SIN(5.2015*G2 - 7.7918) + 0.0407*SIN(8.9532*G2 - 1.5879) - 0.034*SIN(3.7601*H2 - 8.5243) - 0.0043*SIN(7.9286*H2 + 5.5516) - 0.0108*SIN(8.3394*H2 - 2.568) + 0.0096*TAN(3.38*O2 - 3.217) + 0.0002*TAN(3.5883*X2 + 1.395) - 0.0033*TAN(2.0105*Y2 - 8.796) + 0.0026*TAN(5.585*AB2 - 9.5975) + 0.001*TAN(5.596*AC2 - 4.3938) + 0.0009*TAN(9.5893*G2 - 0.3922) - 0*TAN(8.1589*H2 - 9.2447) - 0.0007*TAN(4.7924*I2 - 1.9776) + 0.0387*TANH(5.9622*AD2 + 2.8034) + 2.5848</calculatedColumnFormula>
    </tableColumn>
    <tableColumn id="36" xr3:uid="{9B622C12-706B-44E5-8CFA-D6DB6E9EA034}" name="Scenario 2" dataDxfId="3">
      <calculatedColumnFormula xml:space="preserve">  0.0554*A2 + 0.0295*J2 - 0.0016*K2 - 0.0318*O2 + 0.0423*P2 - 0.0207*Q2 + 0.0214*R2 - 0.0407*S2 + 0.0457*B2 + 0.0114*T2 + 0.0105*U2 - 0.0132*V2 - 0.0309*W2 - 0.0039*X2 + 0.0241*Y2 + 0.0389*Z2 - 0.03*AA2 + 0.0188*AB2 - 0.0005*AC2 - 0.0247*C2 + 0.081*AD2 + 0.0889*AE2 + 0.1114*AF2 + 0.0156*D2 + 0.0154*E2 - 0.0009*F2 - 0.0044*G2 - 0.0022*I2 - 0.0266*(0.2068 - L2)^2 + 0.0029*(0.8119 - L2)^2 + 0.0026*(1 - 0.9069*L2)^2 + 0.0125*(-L2 - 0.8517)^2 - 0.0045*(-L2 - 0.7545)^2 - 0.0006*(-L2 - 0.717)^2 + 0.0015*(-L2 - 0.5749)^2 + 0.0016*(-0.518*L2 - 1)^2 - 0.0009*(-0.7696*X2 - 1)^2 + 0.0015*(-0.5299*X2 - 1)^2 + 0.0019*(-0.8625*G2 - 1)^2 + 0.0097*EXP(0.9399*K2) + 0.002*EXP(1.7085*K2) - 0.0013*EXP(1.1382*L2) - 0.0036*EXP(1.1178*X2) + 0.0043*EXP(1.4245*G2) + 0.0032*EXP(1.667*G2) - 0.0251*LN(6.8506 - 5.2784*AC2) - 0.0003*SIN(1.4059*J2 + 5.2119) + 0.0018*SIN(2.0013*J2 + 8.5958) - 0.0043*SIN(4.7949*J2 - 8.1826) - 0.0147*SIN(9.0108*J2 + 4.3782) - 0.0045*SIN(1.8196*K2 + 8.5972) - 0.0018*SIN(2.741*K2 - 7.1617) - 0.0223*SIN(5.3619*K2 + 8.5934) + 0.0105*SIN(6.9102*K2 - 9.5643) - 0.0276*SIN(9.1936*K2 - 2.3931999206543) + 0.008*SIN(3.6169*M2 - 8.3966) + 0.0216*SIN(7.7648*M2 + 0.817) - 0.1315*SIN(7.9222*M2 - 9.1472) + 0.0349*SIN(7.9528*M2 + 0.4212) + 0.0145*SIN(7.9714*M2 + 6.6069) + 0.0773*SIN(8.0055*M2 + 3.5926) - 0.0156*SIN(8.1752*M2 + 6.5734) - 0.0144*SIN(9.1757*M2 + 1.2237) + 0.0469*SIN(9.1974*M2 + 7.2098) - 0.1191*SIN(0.3696*N2 + 1.0414) - 0.0065*SIN(0.7924*N2 + 2.5872) + 0.018*SIN(1.6148*N2 - 4.3907) - 0.24*SIN(7.8094*N2 + 9.6986) + 0.0126*SIN(8.9713*N2 + 1.1885) - 0.0071*SIN(9.1727*N2 + 7.5982) + 0.0334*SIN(9.7983*N2 + 3.1893) - 0.0269*SIN(0.5938*O2 + 1.8115) - 0.0211*SIN(3.6066*O2 + 1.3711) + 0.0029*SIN(3.7731*O2 - 5.1906) - 0.0143*SIN(5.2137*O2 + 4.5786) - 0.0159*SIN(8.5755*O2 - 6.387) - 0.0064*SIN(8.6104*O2 + 6.3922) + 0.0007*SIN(1.6132*X2 - 1.1866) - 0.0357*SIN(2.6334*X2 + 8.6637) + 0.01*SIN(10*X2 + 7.6) + 0.0267*SIN(0.6298*Y2 + 2.4254) + 0.0143*SIN(3.9449*Y2 - 9.185) + 0.0143*SIN(4.215*Y2 - 0.0068) - 0.0017*SIN(2.5719*Z2 - 4.3922) + 0.0473*SIN(5.1227*AA2 - 8.8148) - 0.0174*SIN(5.1817*AA2 + 3.5906) + 0.0052*SIN(5.9426*AA2 + 8.0374) + 0.0852*SIN(5.9616*AA2 + 4.8153) + 0.0096*SIN(9.7421*AA2 - 4.1558) + 0.0108*SIN(9.918*AA2 + 1.58) - 0.0026*SIN(1.648*AC2 - 9.5724) + 0.0021*SIN(7.0554*AC2 + 3.0087) + 0.008*SIN(9.4829*AC2 + 2.2768) + 0.0356*SIN(9.7796*AC2 + 2.3897) + 0.0396*SIN(0.5813*AE2 - 7.4226) + 0.016*SIN(1.7936*G2 + 3.1916) - 0.009*SIN(5.5818*G2 + 0.799) + 0.0103*SIN(8.9867*G2 - 0.972) + 0.0047*SIN(1.9914*H2 + 2.5906) - 0.0144*SIN(7.5808*H2 - 7.013) + 0.0074*SIN(7.9659*H2 - 0.2063) - 0.0151*SIN(8.5492*H2 - 7.6084) - 0.0024*SIN(8.8094*H2 + 9.0046) + 0.0129*SIN(0.5188*I2 - 7.4581) - 0.0062*SIN(5.0118*I2 + 1.5887) + 0.011*SIN(5.4035*I2 - 7.0002) - 0.0105*SIN(6.5277*I2 + 4.5538) + 0.009*SIN(9.159*I2 - 8.8234) + 0.0269*SIN(9.3478*I2 - 9.2214) - 0.013*SIN(9.5734*I2 + 1.9898) + 0.0148*SIN(-0.0261*A2 + 0.0413*J2 - 0.1294*P2 + 0.058*Q2 + 0.1964*R2 - 0.0366*S2 - 0.0099*B2 + 0.0717*T2 + 0.0384*U2 - 0.0139*V2 - 0.1456*W2 - 0.1114*Y2 + 0.02*Z2 - 0.1007*AB2 - 0.0103*C2 - 0.1018*AD2 + 0.186*AE2 + 0.1251*AF2 + 0.0155*D2 + 0.036*E2 + 0.0317*F2 + 0.0068*(-L2 - 0.5749)^2 - 0.1264*SIN(9.1936*K2 - 2.3931999206543) - 0.602*SIN(7.9222*M2 - 9.1472) + 0.1527*SIN(9.7983*N2 + 3.1893) - 0.0726*SIN(8.5755*O2 - 6.387) + 0.0494*SIN(9.918*AA2 + 1.58) + 0.1629*SIN(9.7796*AC2 + 2.3897) + 0.0731*SIN(1.7936*G2 + 3.1916) - 0.069*SIN(8.5492*H2 - 7.6084) + 0.1231*SIN(9.3478*I2 - 9.2214) + 0.0046*TAN(7.1832*X2 + 5.66) - 1.3108) - 0.0038*TAN(1.5696*J2 + 1.8299) - 0*TAN(5.0982*K2 - 8.845) + 0.0007*TAN(9.326*K2 - 7.6875) + 0.0161*TAN(1.61079978942871*M2 + 5.391) - 0.0003*TAN(4.4*N2 + 9.9985) + 0.0002*TAN(8.7618*N2 - 6.5267) - 0.0087*TAN(9.8005*N2 + 6.5939) + 0.0019*TAN(0.5894*O2 + 2.0044) + 0.0359*TAN(7.413*O2 - 6.8029) - 0.0044*TAN(9.0089*O2 + 8.3906) + 0.001*TAN(7.1832*X2 + 5.66) - 0.0017*TAN(4.3926*Y2 - 2.9996) - 0.0038*TAN(4.2102*Z2 - 8.4078) + 0.0009*TAN(4.781*AA2 - 2.0338) + 0.0019*TAN(6.1579*AB2 + 1.5657) + 0.0002*TAN(2.2243*H2 + 1.5962) + 0.0013*TAN(5.737*H2 + 9.4418) - 0*TAN(7.8188*H2 - 6.3774) + 0.0048*TAN(8.1667*H2 + 9.5738) + 0.0003*TAN(9.21080017089844*H2 - 8.0242) - 0.0072*TAN(2.8083*I2 + 2.3948) - 0.0032*TANH(1.2265*Y2 - 1.097) - 0.0143*TANH(0.9111*Z2 - 0.6862) + 0.001*ABS(5.9999*AA2 + 0.208) + 2.2032 + 0.0003*EXP(-1.3167*L2)</calculatedColumnFormula>
    </tableColumn>
    <tableColumn id="37" xr3:uid="{995FF1C4-CCDA-4EA2-A266-9F46189D0761}" name="Scenario 3" dataDxfId="2">
      <calculatedColumnFormula>0.0937*A2+0.0086*J2-0.0475*M2+0.0001*N2+0.0679*O2+0.0117*P2+0.0173*Q2-0.0429*R2-0.0985*S2+0.0055*B2-0.0228*T2-0.0091*U2+0.0082*V2-0.031*W2-0.0005*X2+0.007*Y2+0.0207*Z2-0.0023*AA2+0.0052*AB2-0.0265*AC2-0.0146*C2+0.163*AD2+0.0827*AE2+0.0131*AF2-0.033*D2-0.2091*E2-0.0155*F2-0.0036*G2-0.0043*H2+0.0019*I2-0.0014*(0.0354-L2)^2+0.0017*(1-0.8727*K2)^3-0.0025*(1-0.1965*L2)^2+0.0034*(-0.7412*J2-1)^2+0.0003*(-K2-0.8278)^2-0.0135*SQRT(0.6326*K2+1)+0.0099*(-L2-0.8047)^2+0.0002*(-L2-0.7694)^2+0.0005*(-L2-0.6738)^2-0.0024*(-0.9844*L2-1)^2-0.0003*(-0.9329*L2-1)^2-0.001*(-0.9307*L2-1)^2+0.0017*(-0.8379*L2-1)^2-0.0015*(-0.7557*L2-1)^2+0.0005*(-0.7474*L2-1)^2-0.0011*(-0.7065*L2-1)^2-0.0004*(-0.5845*L2-1)^2-0.0031*(-0.5836*L2-1)^2+0.0223*(-0.3126*L2-1)^2-0.047*SQRT(0.5539*O2+1)+0.0042*(-0.9116*G2-1)^2-0.0008*(0.0093*A2-0.006*O2+0.0338*P2-0.0048*Q2+0.0217*R2+0.0289*S2-0.0203*B2+0.014*T2+0.0009*U2-0.012*V2+0.0132*W2-0.0207*Z2+0.0015*C2-0.0058*AD2-0.0219*AE2+0.0089*AF2-0.0396*D2-0.1964*E2-0.0039*(-K2-0.8278)^2+0.0355*(-0.5836*L2-1)^2-0.0555*SIN(7.2184*J2+0.5836)-0.0289*SIN(6.5657*N2-7.0156)-0.0529*SIN(4.1635*Y2-6.3993)+0.0334*SIN(0.4127*AA2-7.7931)+0.0732*SIN(0.8*AB2-10)+0.0366*SIN(6.0121*G2+5.19960021972656)+0.1422*SIN(7.3551*H2+6.1722)+0.3077*SIN(8.2066*I2-9.5966)+0.011*TAN(4.8096*M2+1.7911)+0.0218*TAN(1.6314*AC2+6.1852)-1)^2+0.0028*EXP(1.1099*K2)+0.0111*EXP(0.9182*L2)-0.0005*EXP(1.0058*L2)-0.0029*EXP(1.2426*L2)+0.0015*EXP(1.5088*L2)-0.0002*EXP(0.3023*O2)+0.0231*EXP(1.0676*X2)+0.0034*EXP(1.1502*X2)-0.0001*EXP(4.8351*X2)+0.001*EXP(2.1889*AC2)-0.0004*EXP(4.7526*AC2)+0.0007*EXP(3.0232*G2)-0.0003*LN(2.7834-2.5871*AC2)+0.0005*LN(5.623-5.2271*AC2)-0.0066*LN(7.9556-4.6918*Z2)+0.0292*LN(8.576-7.9718*AC2)-0.0038*LN(9.4409-5.5014*I2)-0.0004*LN(9.6788-7.9076*X2)+0.0017*LN(9.8921-7.8747*X2)+0.0029*LN(1.5942*AB2+1.7944)+0.0028*LN(7.4166*AD2+5.2084)-0.0192*LN(7.5653*AD2+5.3129)-0.0001*LN(8.8766*AD2+6.2574)-0.9766*SIN(1.8174*J2-1.0212)+0.0009*SIN(3.394*J2-7.1947)+0.0179*SIN(3.5838*J2-6.7989)+0.0018*SIN(3.5986*J2+2.5868)-0.0051*SIN(6.2046*J2+3.7921)+0.0936*SIN(7.2039*J2-2.6115)+0.0049*SIN(7.2184*J2+0.5836)+0.0019*SIN(1.8185*K2+5.2116)+0.0104*SIN(2.227*K2+2.4092)-0.018*SIN(4.2146*K2+9.385)+0.0013*SIN(4.4647*K2+6.7516)+0.0387*SIN(5.5753*K2-9.807)+0.0022*SIN(6.0074*K2-0.6062)+0.0039*SIN(6.1878*K2-1.189)-0.0056*SIN(6.3606*K2-3.8148)-0.0059*SIN(6.4004*K2-6.7887)-0.0005*SIN(6.6252*K2-8.4241)-0.0003*SIN(8.7719*K2+3.7933)+0.0124*SIN(9.0226*K2+0.4127)+0.0009*SIN(9.2362*K2+3.6145)+0.0022*SIN(3.4005*M2-7.7978)+0.025*SIN(4.8096*M2-8.1953)+0.0026*SIN(4.9862*M2-4.9866)-0.002*SIN(5.2059*M2+7.3858)+0.0032*SIN(7.1554*M2-6.9487)+0.0025*SIN(8.7527*M2-2.1954)-0.1793*SIN(8.7706*M2+1.6113)+0.0326*SIN(8.7722*M2-1.5754)-0.0031*SIN(8.9652*M2+7.2026)+0.0716*SIN(9.0035*M2-8.1922)-0.0371*SIN(9.1489*M2+6.8178)-0.0001*SIN(9.5797*M2+3.2086)-0.0011*SIN(1.7806*N2+5.0026)+0.0114*SIN(4.1796*N2-5.9866)-0.0043*SIN(4.6181*N2+1.7994)-0.0432*SIN(6*N2+10)+0.001*SIN(6.2081*N2-0.9789)+0.0026*SIN(6.5657*N2-7.0156)-0.0424*SIN(8.5862*N2+2.5969)+0.0006*SIN(9.3975*N2-7.3958)+0.003*SIN(0.4046*O2-4.1864)+0.0106*SIN(0.6013*O2-7.5963)-0.0028*SIN(0.8098*O2-7.9977)+0.0029*SIN(3.3894*O2-4.5885)+0.0615*SIN(4.4031*O2-2.9981)-0.0057*SIN(5.3991*O2-8.59)+0.0022*SIN(8.21640014648438*O2-2.4047)+0.0024*SIN(8.6048*O2-3.2054)-0.0052*SIN(8.618*O2+6.3853)+0.0168*SIN(8.7863*O2+2.8105)+0.0426*SIN(8.813*O2-9.6077)+0.0999*SIN(9.0183*O2+5.5966)-0.0111*SIN(9.8213*O2-2.8076)+0.0164*SIN(9.9998*O2-3)-0.0003*SIN(1.3946*X2-1.4057)-0.0058*SIN(3.5737*X2+1.1755)+0.0025*SIN(4.1824*X2+7.1814)-0.0013*SIN(4.9731*X2+2.3814)-0.0002*SIN(6.4117*X2-4.1851)-0.0322*SIN(10*X2+6.6)+0.0047*SIN(4.1635*Y2-6.3993)-0.0036*SIN(4.2082*Y2-6.4001)-0.005*SIN(4.3626*Y2+8.777)+0.0014*SIN(4.5624*Y2+5.3806)-0.0428*SIN(7.1376*Y2-8.4354)-0.0027*SIN(8.3793*Y2+0.7876)+0.0008*SIN(5.1897*Z2-5.6033)-0.0018*SIN(10*Z2+3.2)-0.0029*SIN(0.4127*AA2-7.7931)+0.0164*SIN(0.623*AA2-1.4113)+0.1082*SIN(4.9031*AA2-8.3542)-0.0126*SIN(5.1511*AA2-5.6266)-0.0789*SIN(5.5818*AA2+2.18239974975586)+0.0136*SIN(5.757*AA2+1.9934)-0.0006*SIN(5.76959991455078*AA2+2.0235)-0.013*SIN(5.9389*AA2-4.784)-0.0136*SIN(5.9578*AA2-7.7705)+0.0334*SIN(6.5373*AA2-5.9675)-0.0007*SIN(6.5398*AA2+3.0609)-0.0122*SIN(9.7421*AA2-4.3664)-0.0065*SIN(0.8*AB2-10)-0.0037*SIN(6.3813*AB2-5.7898)+0.0098*SIN(7.4373*AB2-6.3734)+0.002*SIN(9.1838*AB2+3.7828)+0.0033*SIN(9.5653*AB2-0.2029)+0.0033*SIN(9.5817*AB2+9.4075)-0*SIN(5.2921*AC2-0.1589)-0.0016*SIN(6.2874*AC2-0.8015)+0.0081*SIN(1.213*C2+5.2021)+0.0014*SIN(1.7976*C2-1.8115)+0.0066*SIN(0.5007*AF2+2.3303)-0.0032*SIN(6.0121*G2+5.19960021972656)-0.101*SIN(6.20240020751953*G2+1.7746)+0.0472*SIN(7.6254*G2+3.8222)-0*SIN(8.9894*G2+4.2096)+0.0016*SIN(9.7821*G2+2.3931)+0.0054*SIN(2.0023*H2-6.8078)+0.0014*SIN(3.0821*H2-1.5883)-0.0394*SIN(5.1807*H2+9.5933)+0.0089*SIN(5.1874*H2-0.1949)-0.0053*SIN(5.4017*H2-5.9841)+0.0178*SIN(5.9565*H2-2.611)-0.0125*SIN(7.3551*H2+6.1722)+0.0001*SIN(7.9897*H2+6.408)-0.0067*SIN(8.3601*H2-2.5754)+0.0019*SIN(8.7636*H2+8.9782)+0.0123*SIN(9.0006*H2+8.8021)+0.0626*SIN(9.1392*H2+6.7824)-0.0013*SIN(9.3383*H2+5.8458)-0.0478*SIN(0.8026*I2-7.2046)+0.0136*SIN(6.5775*I2-4.613)-0.0271*SIN(8.2066*I2-9.5966)+0.0079*SIN(8.3558*I2+6.1568)+0.0047*SIN(9.211*I2+6.8086)-0.0005*SIN(10*I2+6)+0.0008*SIN(-0.0345*A2-0.0174*J2+0.0087*P2+0.0889*Q2-0.1745*R2-0.1405*S2+0.0324*B2+0.0424*T2-0.0084*U2-0.0403*V2+0.0854*W2-0.1448*Y2+0.0435*Z2-0.1681*AC2+0.0738*C2-0.1416*AD2-0.0603*AE2+0.0708*AF2+0.0112*D2-0.8901*E2+0.0055*F2+0.0528*G2+0.0046*I2+0.0229*(-0.8379*L2-1)^2+0.0394*LN(1.5942*AB2+1.7944)+0.0522*SIN(6.1878*K2-1.189)+0.0388*SIN(3.3894*O2-4.5885)-0.0787*SIN(3.5737*X2+1.1755)+0.0008*TAN(4.1986*M2-8.192)-0.0031*TAN(9.6038*N2-2.241)+0.0369*ABS(9.5474*AA2+2.437)-9.128+0.0141*EXP(-1.8835*H2))-0.0041*SIN(-0.0212*A2-0.046*O2+0.0142*P2-0.0084*Q2+0.0524*R2+0.0249*S2+0.0262*B2+0.0272*T2+0.0137*U2+0.0262*V2-0.0166*W2+0.0113*Y2-0.0311*Z2+0.0142*AB2-0.0277*C2+0.0824*AE2+0.0943*AF2+0.0254*D2+0.2323*E2+0.0165*F2+0.0088*I2-0.0013*EXP(1.5088*L2)+0.0163*LN(7.5653*AD2+5.3129)+0.8293*SIN(1.8174*J2-1.0212)+0.0153*SIN(4.2146*K2+9.385)+0.1523*SIN(8.7706*M2+1.6113)+0.0273*SIN(10*X2+6.6)+0.0857*SIN(6.20240020751953*G2+1.7746)-0.0104*SIN(9.0006*H2+8.8021)-0.0079*TAN(1.0174*N2+5.356)+0.0123*TAN(7.26399993896484*AC2-9.4214)+0.0148*ABS(5.044*AA2-0.6056)-0.3838)-0.6964*SIN(-0.0197*A2-0.0428*O2+0.0132*P2-0.0078*Q2+0.0488*R2+0.0232*S2+0.0243*B2+0.0253*T2+0.0127*U2+0.0244*V2-0.0155*W2+0.0105*Y2-0.0289*Z2+0.0133*AB2-0.0258*C2+0.0766*AE2+0.0877*AF2+0.0236*D2+0.2161*E2+0.0154*F2+0.0082*I2-0.0012*EXP(1.5088*L2)+0.0152*LN(7.5653*AD2+5.3129)+0.7715*SIN(1.8174*J2-1.0212)+0.0142*SIN(4.2146*K2+9.385)+0.1417*SIN(8.7706*M2+1.6113)+0.0254*SIN(10*X2+6.6)+0.0797*SIN(6.20240020751953*G2+1.7746)-0.0097*SIN(9.0006*H2+8.8021)-0.0074*TAN(1.0174*N2+5.356)+0.0114*TAN(7.26399993896484*AC2-9.4214)+0.0137*ABS(5.044*AA2-0.6056)+9.0089)-0.0283*SIN(-0.0188*A2-0.0408*O2+0.0126*P2-0.0075*Q2+0.0465*R2+0.0221*S2+0.0232*B2+0.0242*T2+0.0121*U2+0.0233*V2-0.0148*W2+0.01*Y2-0.0276*Z2+0.0126*AB2-0.0246*C2+0.0731*AE2+0.0838*AF2+0.0226*D2+0.2062*E2+0.0147*F2+0.0078*I2-0.0011*EXP(1.5088*L2)+0.0145)</calculatedColumnFormula>
    </tableColumn>
    <tableColumn id="38" xr3:uid="{D460D33C-84DC-4F3F-8A37-2844B04767B2}" name="Scenario 4" dataDxfId="1">
      <calculatedColumnFormula xml:space="preserve"> 0.0402*A2 - 0.0081*J2 - 0.0173*N2 + 0.0633*P2 + 0.0235*Q2 + 0.0162*R2 - 0.0551*S2 + 0.007*B2 - 0.0043*T2 - 0.0033*U2 + 0.0156*V2 - 0.02*W2 - 0.0027*X2 + 0.0071*Y2 + 0.0026*Z2 - 0.0304*AA2 - 0.0012*AB2 - 0.0006*AC2 + 0.01*C2 + 0.0222*AD2 + 0.1343*AE2 + 0.0838*AF2 - 0.0054*D2 + 0.0155*E2 + 0.0022*F2 + 0.0225*G2 - 0.0007*I2 + 0.0015*(0.742 - L2)^2 - 0.0154*(1 - 0.3916*L2)^2 - 0.0792*(1 - 0.0569*L2)^2 - 0.0003*(-J2 - 0.9486)^2 - 0.0017*(-L2 - 0.5398)^2 - 0.0008*(-L2 - 0.2579)^2 - 0.0006*(-L2 - 0.1189)^2 + 0.0015*(-0.7159*L2 - 1)^2 - 0.0002*(-0.6291*L2 - 1)^2 - 0.0171*(-0.483*L2 - 1)^2 + 0.0066*SQRT(0.6756*C2 + 1) - 0.0008*(-I2 - 0.4475)^2 - 0.0249*EXP(0.1886*O2) + 0.0002*EXP(2.771*U2) + 0.0038*EXP(1.0842*X2) + 0.0058*EXP(1.7146*X2) + 0.0184*EXP(0.9262*AC2) - 0*EXP(1.1276*I2) + 0.0181*LN(5.2011 - 3.0012*Z2) - 0.017*LN(6.6424*O2 + 7.2291) - 0.0012*LN(4.1458*C2 + 5.721) + 0.0117*LN(7.4178*AD2 + 5.2092) + 0.0027*LN(9.0854*AD2 + 6.4622) - 0.0163*SIN(1.9935*J2 + 7.5862) + 0.0195*SIN(3.03079986572266*J2 + 3.7804) - 0.0082*SIN(5.9574*J2 + 0.7547) - 0.0147*SIN(1.012*K2 - 9.992) + 0.0386*SIN(1.1833*K2 - 1.1992) + 0.0098*SIN(2.4259*K2 + 5.3926) - 0.0127*SIN(2.563*K2 - 7.5815) + 0.0002*SIN(3.1518*K2 + 1.4218) + 0.0502*SIN(5.5872*K2 + 6.0045) - 0.0048*SIN(9.7763*K2 + 1.0013) + 0.0076*SIN(6.9662*M2 - 1.589) + 0.0015*SIN(7.3448*M2 + 1.1954) - 0.1235*SIN(7.5575*M2 - 2.1542) + 0.005*SIN(7.567*M2 - 2.388) - 0.0311*SIN(7.6*M2 + 10) + 0.0019*SIN(9.946*M2 + 7.188) + 0.0016*SIN(0.78*N2 + 6.6171) - 0.0044*SIN(4.0024*N2 - 3.01) + 0.0152*SIN(5.6172*N2 + 9.0205) - 0.001*SIN(0.6112*O2 - 7.3958) + 0.0055*SIN(0.7844*O2 + 4.415) + 0.041*SIN(3.963*O2 - 2.3903) - 0.0192*SIN(8.3862*O2 + 3.5989) + 0.013*SIN(9.0153*O2 - 4.2134) - 0.0798*SIN(9.9999*O2 - 9.4) + 0.0001*SIN(1.2158*X2 + 1.7984) + 0.0131*SIN(2.9463*X2 - 9.5) - 0.0017*SIN(3.0069*X2 + 6.4098) - 0.0014*SIN(3.2216*X2 + 7.04) - 0.003*SIN(4.5947*X2 - 0.9925) - 0.0046*SIN(5.1552*Y2 + 8.9889) + 0.0001*SIN(3.9762*Z2 - 5.8045) + 0.967*SIN(9.4123*Z2 - 3.6014) + 0.0067*SIN(0.6238*AA2 - 1.4155) - 0.0039*SIN(4.5996*AA2 + 7.7992) + 0.0227*SIN(4.7631*AA2 - 4.9857) - 0.1641*SIN(0.5554*AB2 - 4.5998) - 0.0002*SIN(3.3374*AB2 - 4.3125) + 0.0072*SIN(4.8128*AB2 + 0.7841) + 0.0082*SIN(6.0064*AB2 - 4.1892) + 0.0129*SIN(8.5658*AB2 - 2.6197) + 0.018*SIN(2.3917*AC2 - 6.2071) - 0.0051*SIN(6.8214*AC2 - 0.788) - 0.0555*SIN(9.2086*C2 - 2.8096) - 0.0064*SIN(1.8514*AD2 - 7.9837) - 0.0065*SIN(4.5727*G2 - 4.9808) + 0.1062*SIN(0.5248*H2 - 7.6358) + 0.0003*SIN(5.1364*H2 - 2.6246) + 0.0058*SIN(5.2121*H2 - 8.6062) + 0.0015*SIN(8.3474*H2 + 9.8074) - 0.0029*SIN(6.1714*I2 - 4.1886) + 0.0653*SIN(7.2156*I2 - 3.4219) + 0.0001*TAN(8.9948*J2 - 7.1934) + 0.0001*TAN(5.8009*K2 + 4.5993) + 0.0098*TAN(6.7794*K2 - 6.8226) + 0.0029*TAN(6.9834*K2 + 4.6135) + 0.0413*TAN(4.6158*M2 + 2.3649) + 0.0008*TAN(5.595*M2 + 8.3922) - 0.003*TAN(7.9858*M2 + 9.2241) + 0.0005*TAN(2.5273*N2 - 7.8565) + 0.0115*TAN(3.7922*N2 - 6.7997) - 0.0003*TAN(6.9793*N2 + 3.9058) - 0.0004*TAN(9.7633*N2 - 5.0526) - 0.0018*TAN(0.4048*O2 + 2.7944) - 0.0002*TAN(5.241*X2 - 1.8188) + 0.0005*TAN(5.3875*X2 + 1.1754) - 0.023*TAN(8.7482*Y2 + 9.5368) - 0.0009*TAN(2.6115*AB2 - 7.0377) - 0.0025*TAN(7.108*AB2 + 4.9987) + 0.0031*TAN(3.0199*AC2 + 1.8452) - 0.0043*TAN(5.0026*G2 - 4.0162) - 0*TAN(5.3945*G2 - 4.7995) + 0.0002*TAN(4.327*H2 + 4.52) + 0.0016*TAN(4.4351*H2 + 4.6384) + 0.005*TAN(7.9829*H2 - 9.2638) + 0.0072*TAN(8.1618*H2 - 9.2259) - 0.0018*TAN(8.1785*H2 + 6.7678) - 0*TAN(8.7587*H2 + 8.4482) + 0.0005*TANH(0.6928*M2 - 1.3492) + 0.2147*TANH(8.5269*Z2 - 5.9027) + 0.0035*TANH(1.7999*I2 - 1.312) + 2.4028 + 0.0128*EXP(-1.7949*C2) - 0.0138*EXP(-0.881*N2) + 0.0012*EXP(-0.202*L2)</calculatedColumnFormula>
    </tableColumn>
    <tableColumn id="39" xr3:uid="{52404466-672A-4E73-8331-60A0D189E05D}" name="Scenario 5" dataDxfId="0">
      <calculatedColumnFormula>-0.0033*A2 - 0.0104*J2 + 0.0097*P2 + 0.0128*Q2 + 0.0144*R2 + 0.0183*S2 - 0.0162*B2 - 0.0054*T2 - 0.0239*U2 - 0.0071*V2 - 0.0265*W2 - 0.012*X2 - 0.0032*Y2 + 0.0035*Z2 - 0.0206*AA2 + 0.0351*AB2 + 0.0243*AC2 - 0.0367*C2 + 0.0171*AD2 + 0.0886*AE2 + 0.0735*AF2 - 0.0009*D2 + 0.0014*E2 - 0.0101*F2 + 0.0055*G2 + 0.0024*I2 + 0.006*(0.5148 - L2)^2 - 0.0053*(1 - 0.8965*L2)^2 - 0.0145*(-0.7725*L2 - 1)^2 - 0.0004*(-0.3067*L2 - 1)^2 + 0.011*EXP(0.795*L2) + 0.0123*SIN(1.1909*J2 + 6.3974) - 0.0299*SIN(9.80039978027344*J2 + 6.3939) + 0.0005*SIN(10*J2 - 6.8) + 0.0002*SIN(5.0137*K2 + 2.9969) - 0.0039*SIN(5.7734*K2 - 7.6027) - 0.087*SIN(6.8247*K2 - 9.7908) + 0.065*SIN(9.001*K2 - 2.6008) - 0.0017*SIN(9.5867*K2 + 4.2014) - 0.1*SIN(7.8095*M2 - 8.5977) + 0.0279*SIN(9.3712*M2 + 9.2339) + 0.0114*SIN(9.3978*M2 - 8.997) + 0.1084*SIN(5.9906*N2 + 8.386) + 0.0281*SIN(6.807*N2 - 1.207) - 0.0146*SIN(9.1668*N2 - 8.5904) + 0.0664*SIN(0.9783*O2 + 7.211) - 0.0077*SIN(3.5826*O2 + 2.0151) + 0.1076*SIN(4.3824*O2 + 3.0014) + 0.0606*SIN(8.5954*O2 + 3.4039) + 0.0064*SIN(1.1734*X2 + 1.2108) + 0.0068*SIN(0.6134*Y2 - 4.1916) - 0.0003*SIN(8.2054*Y2 - 0.011) - 0.01*SIN(9.2072*Y2 + 9.3892) - 0.027*SIN(5.7802*Z2 - 9.376) + 0.1987*SIN(6.5787*Z2 - 4.2128) + 0.0008*SIN(9.3998*AA2 + 2.7986) - 0.0184*SIN(1.9927*AB2 - 1.3718) + 0.0005*SIN(5.9605*AB2 + 2.8006) - 0.0072*SIN(2.2451*AC2 - 7.357) + 0.0453*SIN(7.8342*AC2 + 7.0234) + 0.05*SIN(1.0318*C2 + 4.999) + 0.0069*SIN(9.3768*C2 + 5.9962) - 0.0097*SIN(1.6966*AD2 + 4.819) - 0.4725*SIN(0.2376*AF2 - 3.908) + 0.3291*SIN(0.4282*AF2 - 0.7588) + 0.0006*SIN(1.7814*G2 - 2.9871) + 0.0174*SIN(2.1752*G2 - 8.2016) - 0.0057*SIN(4.8252*G2 - 6.788) + 0.0266*SIN(4.9766*G2 + 1.5681) - 0.0128*SIN(8.933*H2 - 6.1786) + 0.0063*SIN(6.5965*I2 + 1.9946) + 0.0109*TAN(8.9834*M2 + 4.6145) + 0.0016*TAN(8.5814*N2 + 3.2382) - 0.0003*TAN(9.80599975585938*N2 - 8.8131) - 0.0028*TAN(0.5145*X2 - 8.0478) - 0.0012*TAN(6.9784*Y2 - 2.2426) - 0.0064*TAN(9.6066*Z2 - 1.612) - 0.0016*TAN(7.1919*AA2 + 2.1566) - 0.0004*TAN(8.1719*H2 + 3.0406) - 0.0105*TAN(8.7747*H2 - 1.3652) - 0.0016*TAN(8.9669*H2 + 1.575) + 0.0013*TANH(0.6738*M2 + 0.225) + 2.7011 + 0.0006*EXP(-2.6016*AD2) - 0.0363*EXP(-2.1092*AD2)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499C1-B21D-43FC-944B-BDE095E8FE11}">
  <sheetPr codeName="Sheet1"/>
  <dimension ref="A1:AM82"/>
  <sheetViews>
    <sheetView tabSelected="1" topLeftCell="W1" workbookViewId="0">
      <selection activeCell="AP19" sqref="AP19"/>
    </sheetView>
  </sheetViews>
  <sheetFormatPr defaultRowHeight="15"/>
  <cols>
    <col min="1" max="10" width="12" customWidth="1"/>
    <col min="11" max="32" width="13" customWidth="1"/>
    <col min="34" max="34" width="11.7109375" hidden="1" customWidth="1"/>
    <col min="35" max="39" width="12.140625" customWidth="1"/>
  </cols>
  <sheetData>
    <row r="1" spans="1:3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</row>
    <row r="2" spans="1:39">
      <c r="A2">
        <v>-0.36971696999999998</v>
      </c>
      <c r="B2">
        <v>-0.92084379999999999</v>
      </c>
      <c r="C2">
        <v>-1.3799248</v>
      </c>
      <c r="D2">
        <v>0.538327</v>
      </c>
      <c r="E2">
        <v>1.5484990999999999</v>
      </c>
      <c r="F2">
        <v>0.33567256000000001</v>
      </c>
      <c r="G2">
        <v>1.1609478</v>
      </c>
      <c r="H2">
        <v>0.45149228000000002</v>
      </c>
      <c r="I2">
        <v>0.68828076000000005</v>
      </c>
      <c r="J2">
        <v>0.85105103000000004</v>
      </c>
      <c r="K2">
        <v>1.4257721000000001</v>
      </c>
      <c r="L2">
        <v>-1.6130357</v>
      </c>
      <c r="M2">
        <v>-0.66542756999999997</v>
      </c>
      <c r="N2">
        <v>-3.7954014000000001E-2</v>
      </c>
      <c r="O2">
        <v>-0.47566825000000001</v>
      </c>
      <c r="P2">
        <v>2.6267849999999999</v>
      </c>
      <c r="Q2">
        <v>-1.2694764000000001</v>
      </c>
      <c r="R2">
        <v>-0.92672730000000003</v>
      </c>
      <c r="S2">
        <v>0.96271974000000005</v>
      </c>
      <c r="T2">
        <v>0.49405919999999998</v>
      </c>
      <c r="U2">
        <v>0.23094010000000001</v>
      </c>
      <c r="V2">
        <v>0.4489108</v>
      </c>
      <c r="W2">
        <v>1.4484608999999999</v>
      </c>
      <c r="X2">
        <v>7.6390730000000004E-2</v>
      </c>
      <c r="Y2">
        <v>0.72022410000000003</v>
      </c>
      <c r="Z2">
        <v>0.77221406000000004</v>
      </c>
      <c r="AA2">
        <v>0.62444319999999998</v>
      </c>
      <c r="AB2">
        <v>1.3647232</v>
      </c>
      <c r="AC2">
        <v>-1.0712136999999999</v>
      </c>
      <c r="AD2">
        <v>-0.70225859999999996</v>
      </c>
      <c r="AE2">
        <v>-0.27568809999999999</v>
      </c>
      <c r="AF2">
        <v>-0.17110481999999999</v>
      </c>
      <c r="AG2">
        <v>2.3978953000000001</v>
      </c>
      <c r="AH2">
        <v>2.3934275999999999</v>
      </c>
      <c r="AI2" s="2">
        <f t="shared" ref="AI2:AI33" si="0" xml:space="preserve"> 0.0159*A2 - 0.0105*J2 + 0.0013*K2 + 0.0217*O2 + 0.0245*P2 + 0.0216*Q2 - 0.0096*R2 - 0.0537*S2 - 0.0204*B2 - 0.0101*T2 - 0.008*U2 + 0.0067*V2 - 0.0285*W2 + 0.0114*X2 + 0.0004*Y2 + 0.0191*Z2 - 0.0037*AA2 - 0.0008*AB2 + 0.0614*AC2 - 0.0618*C2 + 0.1007*AD2 + 0.0536*AE2 + 0.0767*AF2 - 0.0061*D2 + 0.0125*E2 + 0.0078*F2 + 0.0013*I2 - 0.0046*(-L2 - 0.6204)^2 - 0.0001*(-L2 - 0.5761)^2 + 0.0138*(-L2 - 0.3339)^2 - 0.0019*(-0.8817*L2 - 1)^2 + 0.0012*(-0.565*N2 - 1)^2 + 0.0061*SQRT(O2 + 0.6503) - 0.0019*(-G2 - 0.9835)^2 - 0.0006*EXP(0.9686*J2) - 0.0002*EXP(3.6063*I2) - 0.3496*EXP(0.024*A2 - 0.017*J2 - 0.0221*Q2 + 0.011*R2 - 0.0018*S2 + 0.0415*B2 - 0.0107*T2 + 0.0472*U2 - 0.0267*V2 - 0.0199*W2 - 0.0193*Y2 + 0.0103*Z2 - 0.0021*AC2 + 0.0843*AD2 - 0.1335*AE2 - 0.0307*D2 + 0.0214*E2 - 0.0027*F2 - 0.0102*G2 - 0.0448*I2 - 0.0391*(0.2922 - M2)^2 - 0.2317*(-0.1484*L2 - 1)^2 - 0.0705*SIN(2.9295*K2 + 8.9969) - 0.2731*SIN(3.6118*N2 + 1.3717) - 0.2553*SIN(8.3905*O2 + 0.5993) + 0.0792*SIN(8.0194*X2 - 5.3792) - 0.4156*SIN(4.9622*AA2 - 1.5814) - 0.3407*SIN(7.0398*AB2 + 6.4012) - 0.1278*SIN(8.8108*C2 - 2.3698) + 1.2712*SIN(0.6319*AF2 + 9.0186) - 0.1015*SIN(1.1983*H2 - 9.0053) + 0.0007*EXP(-3.4345*P2)) - 0.0033*SIN(4.1586*K2 - 9.3343) + 0.0009*SIN(9.1776*K2 + 9.5928) + 0.0135*SIN(9.805*K2 + 7.2038) - 0.0022*SIN(0.8*M2 - 9.9999) - 0.0088*SIN(3.5982*M2 - 5.395) - 0.0519*SIN(4.9856*M2 - 4.3637) - 0.041*SIN(7.7498*M2 - 8.9534) + 0.0104*SIN(0.8143*N2 - 9.2128) - 0.0835*SIN(5.804*N2 - 0.8051) - 0.1136*SIN(8.8014*N2 + 1.8034) + 0.0083*SIN(8.8162*O2 + 6.0024) - 0.0125*SIN(7.8403*X2 - 5.1898) - 0.0273*SIN(4.3632*Y2 - 3.599) - 0.0009*SIN(2.6208*Z2 + 5.605) - 0.0668*SIN(0.7881*AA2 + 0.9987) + 0.0039*SIN(5.9578*AA2 + 4.623) - 0.0292*SIN(9.1993*AB2 - 3.1862) - 0.0053*SIN(8.6105*C2 - 2.1704) + 0.0027*SIN(1.127*AE2 + 6.4227) + 0.0171*SIN(0.6208*AF2 + 5.8126) + 0.0031*SIN(5.2015*G2 - 7.7918) + 0.0407*SIN(8.9532*G2 - 1.5879) - 0.034*SIN(3.7601*H2 - 8.5243) - 0.0043*SIN(7.9286*H2 + 5.5516) - 0.0108*SIN(8.3394*H2 - 2.568) + 0.0096*TAN(3.38*O2 - 3.217) + 0.0002*TAN(3.5883*X2 + 1.395) - 0.0033*TAN(2.0105*Y2 - 8.796) + 0.0026*TAN(5.585*AB2 - 9.5975) + 0.001*TAN(5.596*AC2 - 4.3938) + 0.0009*TAN(9.5893*G2 - 0.3922) - 0*TAN(8.1589*H2 - 9.2447) - 0.0007*TAN(4.7924*I2 - 1.9776) + 0.0387*TANH(5.9622*AD2 + 2.8034) + 2.5848</f>
        <v>2.2545010091170981</v>
      </c>
      <c r="AJ2" s="1">
        <f t="shared" ref="AJ2:AJ33" si="1" xml:space="preserve">  0.0554*A2 + 0.0295*J2 - 0.0016*K2 - 0.0318*O2 + 0.0423*P2 - 0.0207*Q2 + 0.0214*R2 - 0.0407*S2 + 0.0457*B2 + 0.0114*T2 + 0.0105*U2 - 0.0132*V2 - 0.0309*W2 - 0.0039*X2 + 0.0241*Y2 + 0.0389*Z2 - 0.03*AA2 + 0.0188*AB2 - 0.0005*AC2 - 0.0247*C2 + 0.081*AD2 + 0.0889*AE2 + 0.1114*AF2 + 0.0156*D2 + 0.0154*E2 - 0.0009*F2 - 0.0044*G2 - 0.0022*I2 - 0.0266*(0.2068 - L2)^2 + 0.0029*(0.8119 - L2)^2 + 0.0026*(1 - 0.9069*L2)^2 + 0.0125*(-L2 - 0.8517)^2 - 0.0045*(-L2 - 0.7545)^2 - 0.0006*(-L2 - 0.717)^2 + 0.0015*(-L2 - 0.5749)^2 + 0.0016*(-0.518*L2 - 1)^2 - 0.0009*(-0.7696*X2 - 1)^2 + 0.0015*(-0.5299*X2 - 1)^2 + 0.0019*(-0.8625*G2 - 1)^2 + 0.0097*EXP(0.9399*K2) + 0.002*EXP(1.7085*K2) - 0.0013*EXP(1.1382*L2) - 0.0036*EXP(1.1178*X2) + 0.0043*EXP(1.4245*G2) + 0.0032*EXP(1.667*G2) - 0.0251*LN(6.8506 - 5.2784*AC2) - 0.0003*SIN(1.4059*J2 + 5.2119) + 0.0018*SIN(2.0013*J2 + 8.5958) - 0.0043*SIN(4.7949*J2 - 8.1826) - 0.0147*SIN(9.0108*J2 + 4.3782) - 0.0045*SIN(1.8196*K2 + 8.5972) - 0.0018*SIN(2.741*K2 - 7.1617) - 0.0223*SIN(5.3619*K2 + 8.5934) + 0.0105*SIN(6.9102*K2 - 9.5643) - 0.0276*SIN(9.1936*K2 - 2.3931999206543) + 0.008*SIN(3.6169*M2 - 8.3966) + 0.0216*SIN(7.7648*M2 + 0.817) - 0.1315*SIN(7.9222*M2 - 9.1472) + 0.0349*SIN(7.9528*M2 + 0.4212) + 0.0145*SIN(7.9714*M2 + 6.6069) + 0.0773*SIN(8.0055*M2 + 3.5926) - 0.0156*SIN(8.1752*M2 + 6.5734) - 0.0144*SIN(9.1757*M2 + 1.2237) + 0.0469*SIN(9.1974*M2 + 7.2098) - 0.1191*SIN(0.3696*N2 + 1.0414) - 0.0065*SIN(0.7924*N2 + 2.5872) + 0.018*SIN(1.6148*N2 - 4.3907) - 0.24*SIN(7.8094*N2 + 9.6986) + 0.0126*SIN(8.9713*N2 + 1.1885) - 0.0071*SIN(9.1727*N2 + 7.5982) + 0.0334*SIN(9.7983*N2 + 3.1893) - 0.0269*SIN(0.5938*O2 + 1.8115) - 0.0211*SIN(3.6066*O2 + 1.3711) + 0.0029*SIN(3.7731*O2 - 5.1906) - 0.0143*SIN(5.2137*O2 + 4.5786) - 0.0159*SIN(8.5755*O2 - 6.387) - 0.0064*SIN(8.6104*O2 + 6.3922) + 0.0007*SIN(1.6132*X2 - 1.1866) - 0.0357*SIN(2.6334*X2 + 8.6637) + 0.01*SIN(10*X2 + 7.6) + 0.0267*SIN(0.6298*Y2 + 2.4254) + 0.0143*SIN(3.9449*Y2 - 9.185) + 0.0143*SIN(4.215*Y2 - 0.0068) - 0.0017*SIN(2.5719*Z2 - 4.3922) + 0.0473*SIN(5.1227*AA2 - 8.8148) - 0.0174*SIN(5.1817*AA2 + 3.5906) + 0.0052*SIN(5.9426*AA2 + 8.0374) + 0.0852*SIN(5.9616*AA2 + 4.8153) + 0.0096*SIN(9.7421*AA2 - 4.1558) + 0.0108*SIN(9.918*AA2 + 1.58) - 0.0026*SIN(1.648*AC2 - 9.5724) + 0.0021*SIN(7.0554*AC2 + 3.0087) + 0.008*SIN(9.4829*AC2 + 2.2768) + 0.0356*SIN(9.7796*AC2 + 2.3897) + 0.0396*SIN(0.5813*AE2 - 7.4226) + 0.016*SIN(1.7936*G2 + 3.1916) - 0.009*SIN(5.5818*G2 + 0.799) + 0.0103*SIN(8.9867*G2 - 0.972) + 0.0047*SIN(1.9914*H2 + 2.5906) - 0.0144*SIN(7.5808*H2 - 7.013) + 0.0074*SIN(7.9659*H2 - 0.2063) - 0.0151*SIN(8.5492*H2 - 7.6084) - 0.0024*SIN(8.8094*H2 + 9.0046) + 0.0129*SIN(0.5188*I2 - 7.4581) - 0.0062*SIN(5.0118*I2 + 1.5887) + 0.011*SIN(5.4035*I2 - 7.0002) - 0.0105*SIN(6.5277*I2 + 4.5538) + 0.009*SIN(9.159*I2 - 8.8234) + 0.0269*SIN(9.3478*I2 - 9.2214) - 0.013*SIN(9.5734*I2 + 1.9898) + 0.0148*SIN(-0.0261*A2 + 0.0413*J2 - 0.1294*P2 + 0.058*Q2 + 0.1964*R2 - 0.0366*S2 - 0.0099*B2 + 0.0717*T2 + 0.0384*U2 - 0.0139*V2 - 0.1456*W2 - 0.1114*Y2 + 0.02*Z2 - 0.1007*AB2 - 0.0103*C2 - 0.1018*AD2 + 0.186*AE2 + 0.1251*AF2 + 0.0155*D2 + 0.036*E2 + 0.0317*F2 + 0.0068*(-L2 - 0.5749)^2 - 0.1264*SIN(9.1936*K2 - 2.3931999206543) - 0.602*SIN(7.9222*M2 - 9.1472) + 0.1527*SIN(9.7983*N2 + 3.1893) - 0.0726*SIN(8.5755*O2 - 6.387) + 0.0494*SIN(9.918*AA2 + 1.58) + 0.1629*SIN(9.7796*AC2 + 2.3897) + 0.0731*SIN(1.7936*G2 + 3.1916) - 0.069*SIN(8.5492*H2 - 7.6084) + 0.1231*SIN(9.3478*I2 - 9.2214) + 0.0046*TAN(7.1832*X2 + 5.66) - 1.3108) - 0.0038*TAN(1.5696*J2 + 1.8299) - 0*TAN(5.0982*K2 - 8.845) + 0.0007*TAN(9.326*K2 - 7.6875) + 0.0161*TAN(1.61079978942871*M2 + 5.391) - 0.0003*TAN(4.4*N2 + 9.9985) + 0.0002*TAN(8.7618*N2 - 6.5267) - 0.0087*TAN(9.8005*N2 + 6.5939) + 0.0019*TAN(0.5894*O2 + 2.0044) + 0.0359*TAN(7.413*O2 - 6.8029) - 0.0044*TAN(9.0089*O2 + 8.3906) + 0.001*TAN(7.1832*X2 + 5.66) - 0.0017*TAN(4.3926*Y2 - 2.9996) - 0.0038*TAN(4.2102*Z2 - 8.4078) + 0.0009*TAN(4.781*AA2 - 2.0338) + 0.0019*TAN(6.1579*AB2 + 1.5657) + 0.0002*TAN(2.2243*H2 + 1.5962) + 0.0013*TAN(5.737*H2 + 9.4418) - 0*TAN(7.8188*H2 - 6.3774) + 0.0048*TAN(8.1667*H2 + 9.5738) + 0.0003*TAN(9.21080017089844*H2 - 8.0242) - 0.0072*TAN(2.8083*I2 + 2.3948) - 0.0032*TANH(1.2265*Y2 - 1.097) - 0.0143*TANH(0.9111*Z2 - 0.6862) + 0.001*ABS(5.9999*AA2 + 0.208) + 2.2032 + 0.0003*EXP(-1.3167*L2)</f>
        <v>2.172001500879333</v>
      </c>
      <c r="AK2">
        <f>0.0937*A2+0.0086*J2-0.0475*M2+0.0001*N2+0.0679*O2+0.0117*P2+0.0173*Q2-0.0429*R2-0.0985*S2+0.0055*B2-0.0228*T2-0.0091*U2+0.0082*V2-0.031*W2-0.0005*X2+0.007*Y2+0.0207*Z2-0.0023*AA2+0.0052*AB2-0.0265*AC2-0.0146*C2+0.163*AD2+0.0827*AE2+0.0131*AF2-0.033*D2-0.2091*E2-0.0155*F2-0.0036*G2-0.0043*H2+0.0019*I2-0.0014*(0.0354-L2)^2+0.0017*(1-0.8727*K2)^3-0.0025*(1-0.1965*L2)^2+0.0034*(-0.7412*J2-1)^2+0.0003*(-K2-0.8278)^2-0.0135*SQRT(0.6326*K2+1)+0.0099*(-L2-0.8047)^2+0.0002*(-L2-0.7694)^2+0.0005*(-L2-0.6738)^2-0.0024*(-0.9844*L2-1)^2-0.0003*(-0.9329*L2-1)^2-0.001*(-0.9307*L2-1)^2+0.0017*(-0.8379*L2-1)^2-0.0015*(-0.7557*L2-1)^2+0.0005*(-0.7474*L2-1)^2-0.0011*(-0.7065*L2-1)^2-0.0004*(-0.5845*L2-1)^2-0.0031*(-0.5836*L2-1)^2+0.0223*(-0.3126*L2-1)^2-0.047*SQRT(0.5539*O2+1)+0.0042*(-0.9116*G2-1)^2-0.0008*(0.0093*A2-0.006*O2+0.0338*P2-0.0048*Q2+0.0217*R2+0.0289*S2-0.0203*B2+0.014*T2+0.0009*U2-0.012*V2+0.0132*W2-0.0207*Z2+0.0015*C2-0.0058*AD2-0.0219*AE2+0.0089*AF2-0.0396*D2-0.1964*E2-0.0039*(-K2-0.8278)^2+0.0355*(-0.5836*L2-1)^2-0.0555*SIN(7.2184*J2+0.5836)-0.0289*SIN(6.5657*N2-7.0156)-0.0529*SIN(4.1635*Y2-6.3993)+0.0334*SIN(0.4127*AA2-7.7931)+0.0732*SIN(0.8*AB2-10)+0.0366*SIN(6.0121*G2+5.19960021972656)+0.1422*SIN(7.3551*H2+6.1722)+0.3077*SIN(8.2066*I2-9.5966)+0.011*TAN(4.8096*M2+1.7911)+0.0218*TAN(1.6314*AC2+6.1852)-1)^2+0.0028*EXP(1.1099*K2)+0.0111*EXP(0.9182*L2)-0.0005*EXP(1.0058*L2)-0.0029*EXP(1.2426*L2)+0.0015*EXP(1.5088*L2)-0.0002*EXP(0.3023*O2)+0.0231*EXP(1.0676*X2)+0.0034*EXP(1.1502*X2)-0.0001*EXP(4.8351*X2)+0.001*EXP(2.1889*AC2)-0.0004*EXP(4.7526*AC2)+0.0007*EXP(3.0232*G2)-0.0003*LN(2.7834-2.5871*AC2)+0.0005*LN(5.623-5.2271*AC2)-0.0066*LN(7.9556-4.6918*Z2)+0.0292*LN(8.576-7.9718*AC2)-0.0038*LN(9.4409-5.5014*I2)-0.0004*LN(9.6788-7.9076*X2)+0.0017*LN(9.8921-7.8747*X2)+0.0029*LN(1.5942*AB2+1.7944)+0.0028*LN(7.4166*AD2+5.2084)-0.0192*LN(7.5653*AD2+5.3129)-0.0001*LN(8.8766*AD2+6.2574)-0.9766*SIN(1.8174*J2-1.0212)+0.0009*SIN(3.394*J2-7.1947)+0.0179*SIN(3.5838*J2-6.7989)+0.0018*SIN(3.5986*J2+2.5868)-0.0051*SIN(6.2046*J2+3.7921)+0.0936*SIN(7.2039*J2-2.6115)+0.0049*SIN(7.2184*J2+0.5836)+0.0019*SIN(1.8185*K2+5.2116)+0.0104*SIN(2.227*K2+2.4092)-0.018*SIN(4.2146*K2+9.385)+0.0013*SIN(4.4647*K2+6.7516)+0.0387*SIN(5.5753*K2-9.807)+0.0022*SIN(6.0074*K2-0.6062)+0.0039*SIN(6.1878*K2-1.189)-0.0056*SIN(6.3606*K2-3.8148)-0.0059*SIN(6.4004*K2-6.7887)-0.0005*SIN(6.6252*K2-8.4241)-0.0003*SIN(8.7719*K2+3.7933)+0.0124*SIN(9.0226*K2+0.4127)+0.0009*SIN(9.2362*K2+3.6145)+0.0022*SIN(3.4005*M2-7.7978)+0.025*SIN(4.8096*M2-8.1953)+0.0026*SIN(4.9862*M2-4.9866)-0.002*SIN(5.2059*M2+7.3858)+0.0032*SIN(7.1554*M2-6.9487)+0.0025*SIN(8.7527*M2-2.1954)-0.1793*SIN(8.7706*M2+1.6113)+0.0326*SIN(8.7722*M2-1.5754)-0.0031*SIN(8.9652*M2+7.2026)+0.0716*SIN(9.0035*M2-8.1922)-0.0371*SIN(9.1489*M2+6.8178)-0.0001*SIN(9.5797*M2+3.2086)-0.0011*SIN(1.7806*N2+5.0026)+0.0114*SIN(4.1796*N2-5.9866)-0.0043*SIN(4.6181*N2+1.7994)-0.0432*SIN(6*N2+10)+0.001*SIN(6.2081*N2-0.9789)+0.0026*SIN(6.5657*N2-7.0156)-0.0424*SIN(8.5862*N2+2.5969)+0.0006*SIN(9.3975*N2-7.3958)+0.003*SIN(0.4046*O2-4.1864)+0.0106*SIN(0.6013*O2-7.5963)-0.0028*SIN(0.8098*O2-7.9977)+0.0029*SIN(3.3894*O2-4.5885)+0.0615*SIN(4.4031*O2-2.9981)-0.0057*SIN(5.3991*O2-8.59)+0.0022*SIN(8.21640014648438*O2-2.4047)+0.0024*SIN(8.6048*O2-3.2054)-0.0052*SIN(8.618*O2+6.3853)+0.0168*SIN(8.7863*O2+2.8105)+0.0426*SIN(8.813*O2-9.6077)+0.0999*SIN(9.0183*O2+5.5966)-0.0111*SIN(9.8213*O2-2.8076)+0.0164*SIN(9.9998*O2-3)-0.0003*SIN(1.3946*X2-1.4057)-0.0058*SIN(3.5737*X2+1.1755)+0.0025*SIN(4.1824*X2+7.1814)-0.0013*SIN(4.9731*X2+2.3814)-0.0002*SIN(6.4117*X2-4.1851)-0.0322*SIN(10*X2+6.6)+0.0047*SIN(4.1635*Y2-6.3993)-0.0036*SIN(4.2082*Y2-6.4001)-0.005*SIN(4.3626*Y2+8.777)+0.0014*SIN(4.5624*Y2+5.3806)-0.0428*SIN(7.1376*Y2-8.4354)-0.0027*SIN(8.3793*Y2+0.7876)+0.0008*SIN(5.1897*Z2-5.6033)-0.0018*SIN(10*Z2+3.2)-0.0029*SIN(0.4127*AA2-7.7931)+0.0164*SIN(0.623*AA2-1.4113)+0.1082*SIN(4.9031*AA2-8.3542)-0.0126*SIN(5.1511*AA2-5.6266)-0.0789*SIN(5.5818*AA2+2.18239974975586)+0.0136*SIN(5.757*AA2+1.9934)-0.0006*SIN(5.76959991455078*AA2+2.0235)-0.013*SIN(5.9389*AA2-4.784)-0.0136*SIN(5.9578*AA2-7.7705)+0.0334*SIN(6.5373*AA2-5.9675)-0.0007*SIN(6.5398*AA2+3.0609)-0.0122*SIN(9.7421*AA2-4.3664)-0.0065*SIN(0.8*AB2-10)-0.0037*SIN(6.3813*AB2-5.7898)+0.0098*SIN(7.4373*AB2-6.3734)+0.002*SIN(9.1838*AB2+3.7828)+0.0033*SIN(9.5653*AB2-0.2029)+0.0033*SIN(9.5817*AB2+9.4075)-0*SIN(5.2921*AC2-0.1589)-0.0016*SIN(6.2874*AC2-0.8015)+0.0081*SIN(1.213*C2+5.2021)+0.0014*SIN(1.7976*C2-1.8115)+0.0066*SIN(0.5007*AF2+2.3303)-0.0032*SIN(6.0121*G2+5.19960021972656)-0.101*SIN(6.20240020751953*G2+1.7746)+0.0472*SIN(7.6254*G2+3.8222)-0*SIN(8.9894*G2+4.2096)+0.0016*SIN(9.7821*G2+2.3931)+0.0054*SIN(2.0023*H2-6.8078)+0.0014*SIN(3.0821*H2-1.5883)-0.0394*SIN(5.1807*H2+9.5933)+0.0089*SIN(5.1874*H2-0.1949)-0.0053*SIN(5.4017*H2-5.9841)+0.0178*SIN(5.9565*H2-2.611)-0.0125*SIN(7.3551*H2+6.1722)+0.0001*SIN(7.9897*H2+6.408)-0.0067*SIN(8.3601*H2-2.5754)+0.0019*SIN(8.7636*H2+8.9782)+0.0123*SIN(9.0006*H2+8.8021)+0.0626*SIN(9.1392*H2+6.7824)-0.0013*SIN(9.3383*H2+5.8458)-0.0478*SIN(0.8026*I2-7.2046)+0.0136*SIN(6.5775*I2-4.613)-0.0271*SIN(8.2066*I2-9.5966)+0.0079*SIN(8.3558*I2+6.1568)+0.0047*SIN(9.211*I2+6.8086)-0.0005*SIN(10*I2+6)+0.0008*SIN(-0.0345*A2-0.0174*J2+0.0087*P2+0.0889*Q2-0.1745*R2-0.1405*S2+0.0324*B2+0.0424*T2-0.0084*U2-0.0403*V2+0.0854*W2-0.1448*Y2+0.0435*Z2-0.1681*AC2+0.0738*C2-0.1416*AD2-0.0603*AE2+0.0708*AF2+0.0112*D2-0.8901*E2+0.0055*F2+0.0528*G2+0.0046*I2+0.0229*(-0.8379*L2-1)^2+0.0394*LN(1.5942*AB2+1.7944)+0.0522*SIN(6.1878*K2-1.189)+0.0388*SIN(3.3894*O2-4.5885)-0.0787*SIN(3.5737*X2+1.1755)+0.0008*TAN(4.1986*M2-8.192)-0.0031*TAN(9.6038*N2-2.241)+0.0369*ABS(9.5474*AA2+2.437)-9.128+0.0141*EXP(-1.8835*H2))-0.0041*SIN(-0.0212*A2-0.046*O2+0.0142*P2-0.0084*Q2+0.0524*R2+0.0249*S2+0.0262*B2+0.0272*T2+0.0137*U2+0.0262*V2-0.0166*W2+0.0113*Y2-0.0311*Z2+0.0142*AB2-0.0277*C2+0.0824*AE2+0.0943*AF2+0.0254*D2+0.2323*E2+0.0165*F2+0.0088*I2-0.0013*EXP(1.5088*L2)+0.0163*LN(7.5653*AD2+5.3129)+0.8293*SIN(1.8174*J2-1.0212)+0.0153*SIN(4.2146*K2+9.385)+0.1523*SIN(8.7706*M2+1.6113)+0.0273*SIN(10*X2+6.6)+0.0857*SIN(6.20240020751953*G2+1.7746)-0.0104*SIN(9.0006*H2+8.8021)-0.0079*TAN(1.0174*N2+5.356)+0.0123*TAN(7.26399993896484*AC2-9.4214)+0.0148*ABS(5.044*AA2-0.6056)-0.3838)-0.6964*SIN(-0.0197*A2-0.0428*O2+0.0132*P2-0.0078*Q2+0.0488*R2+0.0232*S2+0.0243*B2+0.0253*T2+0.0127*U2+0.0244*V2-0.0155*W2+0.0105*Y2-0.0289*Z2+0.0133*AB2-0.0258*C2+0.0766*AE2+0.0877*AF2+0.0236*D2+0.2161*E2+0.0154*F2+0.0082*I2-0.0012*EXP(1.5088*L2)+0.0152*LN(7.5653*AD2+5.3129)+0.7715*SIN(1.8174*J2-1.0212)+0.0142*SIN(4.2146*K2+9.385)+0.1417*SIN(8.7706*M2+1.6113)+0.0254*SIN(10*X2+6.6)+0.0797*SIN(6.20240020751953*G2+1.7746)-0.0097*SIN(9.0006*H2+8.8021)-0.0074*TAN(1.0174*N2+5.356)+0.0114*TAN(7.26399993896484*AC2-9.4214)+0.0137*ABS(5.044*AA2-0.6056)+9.0089)-0.0283*SIN(-0.0188*A2-0.0408*O2+0.0126*P2-0.0075*Q2+0.0465*R2+0.0221*S2+0.0232*B2+0.0242*T2+0.0121*U2+0.0233*V2-0.0148*W2+0.01*Y2-0.0276*Z2+0.0126*AB2-0.0246*C2+0.0731*AE2+0.0838*AF2+0.0226*D2+0.2062*E2+0.0147*F2+0.0078*I2-0.0011*EXP(1.5088*L2)+0.0145)</f>
        <v>-0.87918839616594346</v>
      </c>
      <c r="AL2" t="e">
        <f t="shared" ref="AL2:AL33" si="2" xml:space="preserve"> 0.0402*A2 - 0.0081*J2 - 0.0173*N2 + 0.0633*P2 + 0.0235*Q2 + 0.0162*R2 - 0.0551*S2 + 0.007*B2 - 0.0043*T2 - 0.0033*U2 + 0.0156*V2 - 0.02*W2 - 0.0027*X2 + 0.0071*Y2 + 0.0026*Z2 - 0.0304*AA2 - 0.0012*AB2 - 0.0006*AC2 + 0.01*C2 + 0.0222*AD2 + 0.1343*AE2 + 0.0838*AF2 - 0.0054*D2 + 0.0155*E2 + 0.0022*F2 + 0.0225*G2 - 0.0007*I2 + 0.0015*(0.742 - L2)^2 - 0.0154*(1 - 0.3916*L2)^2 - 0.0792*(1 - 0.0569*L2)^2 - 0.0003*(-J2 - 0.9486)^2 - 0.0017*(-L2 - 0.5398)^2 - 0.0008*(-L2 - 0.2579)^2 - 0.0006*(-L2 - 0.1189)^2 + 0.0015*(-0.7159*L2 - 1)^2 - 0.0002*(-0.6291*L2 - 1)^2 - 0.0171*(-0.483*L2 - 1)^2 + 0.0066*SQRT(0.6756*C2 + 1) - 0.0008*(-I2 - 0.4475)^2 - 0.0249*EXP(0.1886*O2) + 0.0002*EXP(2.771*U2) + 0.0038*EXP(1.0842*X2) + 0.0058*EXP(1.7146*X2) + 0.0184*EXP(0.9262*AC2) - 0*EXP(1.1276*I2) + 0.0181*LN(5.2011 - 3.0012*Z2) - 0.017*LN(6.6424*O2 + 7.2291) - 0.0012*LN(4.1458*C2 + 5.721) + 0.0117*LN(7.4178*AD2 + 5.2092) + 0.0027*LN(9.0854*AD2 + 6.4622) - 0.0163*SIN(1.9935*J2 + 7.5862) + 0.0195*SIN(3.03079986572266*J2 + 3.7804) - 0.0082*SIN(5.9574*J2 + 0.7547) - 0.0147*SIN(1.012*K2 - 9.992) + 0.0386*SIN(1.1833*K2 - 1.1992) + 0.0098*SIN(2.4259*K2 + 5.3926) - 0.0127*SIN(2.563*K2 - 7.5815) + 0.0002*SIN(3.1518*K2 + 1.4218) + 0.0502*SIN(5.5872*K2 + 6.0045) - 0.0048*SIN(9.7763*K2 + 1.0013) + 0.0076*SIN(6.9662*M2 - 1.589) + 0.0015*SIN(7.3448*M2 + 1.1954) - 0.1235*SIN(7.5575*M2 - 2.1542) + 0.005*SIN(7.567*M2 - 2.388) - 0.0311*SIN(7.6*M2 + 10) + 0.0019*SIN(9.946*M2 + 7.188) + 0.0016*SIN(0.78*N2 + 6.6171) - 0.0044*SIN(4.0024*N2 - 3.01) + 0.0152*SIN(5.6172*N2 + 9.0205) - 0.001*SIN(0.6112*O2 - 7.3958) + 0.0055*SIN(0.7844*O2 + 4.415) + 0.041*SIN(3.963*O2 - 2.3903) - 0.0192*SIN(8.3862*O2 + 3.5989) + 0.013*SIN(9.0153*O2 - 4.2134) - 0.0798*SIN(9.9999*O2 - 9.4) + 0.0001*SIN(1.2158*X2 + 1.7984) + 0.0131*SIN(2.9463*X2 - 9.5) - 0.0017*SIN(3.0069*X2 + 6.4098) - 0.0014*SIN(3.2216*X2 + 7.04) - 0.003*SIN(4.5947*X2 - 0.9925) - 0.0046*SIN(5.1552*Y2 + 8.9889) + 0.0001*SIN(3.9762*Z2 - 5.8045) + 0.967*SIN(9.4123*Z2 - 3.6014) + 0.0067*SIN(0.6238*AA2 - 1.4155) - 0.0039*SIN(4.5996*AA2 + 7.7992) + 0.0227*SIN(4.7631*AA2 - 4.9857) - 0.1641*SIN(0.5554*AB2 - 4.5998) - 0.0002*SIN(3.3374*AB2 - 4.3125) + 0.0072*SIN(4.8128*AB2 + 0.7841) + 0.0082*SIN(6.0064*AB2 - 4.1892) + 0.0129*SIN(8.5658*AB2 - 2.6197) + 0.018*SIN(2.3917*AC2 - 6.2071) - 0.0051*SIN(6.8214*AC2 - 0.788) - 0.0555*SIN(9.2086*C2 - 2.8096) - 0.0064*SIN(1.8514*AD2 - 7.9837) - 0.0065*SIN(4.5727*G2 - 4.9808) + 0.1062*SIN(0.5248*H2 - 7.6358) + 0.0003*SIN(5.1364*H2 - 2.6246) + 0.0058*SIN(5.2121*H2 - 8.6062) + 0.0015*SIN(8.3474*H2 + 9.8074) - 0.0029*SIN(6.1714*I2 - 4.1886) + 0.0653*SIN(7.2156*I2 - 3.4219) + 0.0001*TAN(8.9948*J2 - 7.1934) + 0.0001*TAN(5.8009*K2 + 4.5993) + 0.0098*TAN(6.7794*K2 - 6.8226) + 0.0029*TAN(6.9834*K2 + 4.6135) + 0.0413*TAN(4.6158*M2 + 2.3649) + 0.0008*TAN(5.595*M2 + 8.3922) - 0.003*TAN(7.9858*M2 + 9.2241) + 0.0005*TAN(2.5273*N2 - 7.8565) + 0.0115*TAN(3.7922*N2 - 6.7997) - 0.0003*TAN(6.9793*N2 + 3.9058) - 0.0004*TAN(9.7633*N2 - 5.0526) - 0.0018*TAN(0.4048*O2 + 2.7944) - 0.0002*TAN(5.241*X2 - 1.8188) + 0.0005*TAN(5.3875*X2 + 1.1754) - 0.023*TAN(8.7482*Y2 + 9.5368) - 0.0009*TAN(2.6115*AB2 - 7.0377) - 0.0025*TAN(7.108*AB2 + 4.9987) + 0.0031*TAN(3.0199*AC2 + 1.8452) - 0.0043*TAN(5.0026*G2 - 4.0162) - 0*TAN(5.3945*G2 - 4.7995) + 0.0002*TAN(4.327*H2 + 4.52) + 0.0016*TAN(4.4351*H2 + 4.6384) + 0.005*TAN(7.9829*H2 - 9.2638) + 0.0072*TAN(8.1618*H2 - 9.2259) - 0.0018*TAN(8.1785*H2 + 6.7678) - 0*TAN(8.7587*H2 + 8.4482) + 0.0005*TANH(0.6928*M2 - 1.3492) + 0.2147*TANH(8.5269*Z2 - 5.9027) + 0.0035*TANH(1.7999*I2 - 1.312) + 2.4028 + 0.0128*EXP(-1.7949*C2) - 0.0138*EXP(-0.881*N2) + 0.0012*EXP(-0.202*L2)</f>
        <v>#NUM!</v>
      </c>
      <c r="AM2">
        <f t="shared" ref="AM2:AM33" si="3">-0.0033*A2 - 0.0104*J2 + 0.0097*P2 + 0.0128*Q2 + 0.0144*R2 + 0.0183*S2 - 0.0162*B2 - 0.0054*T2 - 0.0239*U2 - 0.0071*V2 - 0.0265*W2 - 0.012*X2 - 0.0032*Y2 + 0.0035*Z2 - 0.0206*AA2 + 0.0351*AB2 + 0.0243*AC2 - 0.0367*C2 + 0.0171*AD2 + 0.0886*AE2 + 0.0735*AF2 - 0.0009*D2 + 0.0014*E2 - 0.0101*F2 + 0.0055*G2 + 0.0024*I2 + 0.006*(0.5148 - L2)^2 - 0.0053*(1 - 0.8965*L2)^2 - 0.0145*(-0.7725*L2 - 1)^2 - 0.0004*(-0.3067*L2 - 1)^2 + 0.011*EXP(0.795*L2) + 0.0123*SIN(1.1909*J2 + 6.3974) - 0.0299*SIN(9.80039978027344*J2 + 6.3939) + 0.0005*SIN(10*J2 - 6.8) + 0.0002*SIN(5.0137*K2 + 2.9969) - 0.0039*SIN(5.7734*K2 - 7.6027) - 0.087*SIN(6.8247*K2 - 9.7908) + 0.065*SIN(9.001*K2 - 2.6008) - 0.0017*SIN(9.5867*K2 + 4.2014) - 0.1*SIN(7.8095*M2 - 8.5977) + 0.0279*SIN(9.3712*M2 + 9.2339) + 0.0114*SIN(9.3978*M2 - 8.997) + 0.1084*SIN(5.9906*N2 + 8.386) + 0.0281*SIN(6.807*N2 - 1.207) - 0.0146*SIN(9.1668*N2 - 8.5904) + 0.0664*SIN(0.9783*O2 + 7.211) - 0.0077*SIN(3.5826*O2 + 2.0151) + 0.1076*SIN(4.3824*O2 + 3.0014) + 0.0606*SIN(8.5954*O2 + 3.4039) + 0.0064*SIN(1.1734*X2 + 1.2108) + 0.0068*SIN(0.6134*Y2 - 4.1916) - 0.0003*SIN(8.2054*Y2 - 0.011) - 0.01*SIN(9.2072*Y2 + 9.3892) - 0.027*SIN(5.7802*Z2 - 9.376) + 0.1987*SIN(6.5787*Z2 - 4.2128) + 0.0008*SIN(9.3998*AA2 + 2.7986) - 0.0184*SIN(1.9927*AB2 - 1.3718) + 0.0005*SIN(5.9605*AB2 + 2.8006) - 0.0072*SIN(2.2451*AC2 - 7.357) + 0.0453*SIN(7.8342*AC2 + 7.0234) + 0.05*SIN(1.0318*C2 + 4.999) + 0.0069*SIN(9.3768*C2 + 5.9962) - 0.0097*SIN(1.6966*AD2 + 4.819) - 0.4725*SIN(0.2376*AF2 - 3.908) + 0.3291*SIN(0.4282*AF2 - 0.7588) + 0.0006*SIN(1.7814*G2 - 2.9871) + 0.0174*SIN(2.1752*G2 - 8.2016) - 0.0057*SIN(4.8252*G2 - 6.788) + 0.0266*SIN(4.9766*G2 + 1.5681) - 0.0128*SIN(8.933*H2 - 6.1786) + 0.0063*SIN(6.5965*I2 + 1.9946) + 0.0109*TAN(8.9834*M2 + 4.6145) + 0.0016*TAN(8.5814*N2 + 3.2382) - 0.0003*TAN(9.80599975585938*N2 - 8.8131) - 0.0028*TAN(0.5145*X2 - 8.0478) - 0.0012*TAN(6.9784*Y2 - 2.2426) - 0.0064*TAN(9.6066*Z2 - 1.612) - 0.0016*TAN(7.1919*AA2 + 2.1566) - 0.0004*TAN(8.1719*H2 + 3.0406) - 0.0105*TAN(8.7747*H2 - 1.3652) - 0.0016*TAN(8.9669*H2 + 1.575) + 0.0013*TANH(0.6738*M2 + 0.225) + 2.7011 + 0.0006*EXP(-2.6016*AD2) - 0.0363*EXP(-2.1092*AD2)</f>
        <v>2.1828214531829704</v>
      </c>
    </row>
    <row r="3" spans="1:39">
      <c r="A3">
        <v>-0.36971696999999998</v>
      </c>
      <c r="B3">
        <v>1.0859605000000001</v>
      </c>
      <c r="C3">
        <v>-1.3799248</v>
      </c>
      <c r="D3">
        <v>0.538327</v>
      </c>
      <c r="E3">
        <v>-0.64578663999999997</v>
      </c>
      <c r="F3">
        <v>0.33567256000000001</v>
      </c>
      <c r="G3">
        <v>1.1609478</v>
      </c>
      <c r="H3">
        <v>1.3719539999999999</v>
      </c>
      <c r="I3">
        <v>0.68828076000000005</v>
      </c>
      <c r="J3">
        <v>-0.30316411999999998</v>
      </c>
      <c r="K3">
        <v>-1.0362169000000001</v>
      </c>
      <c r="L3">
        <v>0.28183150000000001</v>
      </c>
      <c r="M3">
        <v>-0.66542756999999997</v>
      </c>
      <c r="N3">
        <v>-1.2373008000000001</v>
      </c>
      <c r="O3">
        <v>-0.47566825000000001</v>
      </c>
      <c r="P3">
        <v>-0.38069350000000002</v>
      </c>
      <c r="Q3">
        <v>0.78772633999999997</v>
      </c>
      <c r="R3">
        <v>-0.92672730000000003</v>
      </c>
      <c r="S3">
        <v>0.96271974000000005</v>
      </c>
      <c r="T3">
        <v>-2.0240490000000002</v>
      </c>
      <c r="U3">
        <v>0.23094010000000001</v>
      </c>
      <c r="V3">
        <v>0.4489108</v>
      </c>
      <c r="W3">
        <v>-0.69038796000000002</v>
      </c>
      <c r="X3">
        <v>1.1736394000000001</v>
      </c>
      <c r="Y3">
        <v>-0.25656050000000002</v>
      </c>
      <c r="Z3">
        <v>-0.11836857000000001</v>
      </c>
      <c r="AA3">
        <v>-0.53628653000000004</v>
      </c>
      <c r="AB3">
        <v>-1.0355692000000001</v>
      </c>
      <c r="AC3">
        <v>1.0757432</v>
      </c>
      <c r="AD3">
        <v>-0.23629803999999999</v>
      </c>
      <c r="AE3">
        <v>-0.27568809999999999</v>
      </c>
      <c r="AF3">
        <v>0.62402933999999999</v>
      </c>
      <c r="AG3">
        <v>2.7080503</v>
      </c>
      <c r="AH3">
        <v>2.6597056000000001</v>
      </c>
      <c r="AI3" s="3">
        <f t="shared" si="0"/>
        <v>2.7490694734944734</v>
      </c>
      <c r="AJ3">
        <f t="shared" si="1"/>
        <v>2.2136351874023918</v>
      </c>
      <c r="AK3" t="e">
        <f t="shared" ref="AK2:AK33" si="4">0.0937*A3+0.0086*J3-0.0475*M3+0.0001*N3+0.0679*O3+0.0117*P3+0.0173*Q3-0.0429*R3-0.0985*S3+0.0055*B3-0.0228*T3-0.0091*U3+0.0082*V3-0.031*W3-0.0005*X3+0.007*Y3+0.0207*Z3-0.0023*AA3+0.0052*AB3-0.0265*AC3-0.0146*C3+0.163*AD3+0.0827*AE3+0.0131*AF3-0.033*D3-0.2091*E3-0.0155*F3-0.0036*G3-0.0043*H3+0.0019*I3-0.0014*(0.0354-L3)^2+0.0017*(1-0.8727*K3)^3-0.0025*(1-0.1965*L3)^2+0.0034*(-0.7412*J3-1)^2+0.0003*(-K3-0.8278)^2-0.0135*SQRT(0.6326*K3+1)+0.0099*(-L3-0.8047)^2+0.0002*(-L3-0.7694)^2+0.0005*(-L3-0.6738)^2-0.0024*(-0.9844*L3-1)^2-0.0003*(-0.9329*L3-1)^2-0.001*(-0.9307*L3-1)^2+0.0017*(-0.8379*L3-1)^2-0.0015*(-0.7557*L3-1)^2+0.0005*(-0.7474*L3-1)^2-0.0011*(-0.7065*L3-1)^2-0.0004*(-0.5845*L3-1)^2-0.0031*(-0.5836*L3-1)^2+0.0223*(-0.3126*L3-1)^2-0.047*SQRT(0.5539*O3+1)+0.0042*(-0.9116*G3-1)^2-0.0008*(0.0093*A3-0.006*O3+0.0338*P3-0.0048*Q3+0.0217*R3+0.0289*S3-0.0203*B3+0.014*T3+0.0009*U3-0.012*V3+0.0132*W3-0.0207*Z3+0.0015*C3-0.0058*AD3-0.0219*AE3+0.0089*AF3-0.0396*D3-0.1964*E3-0.0039*(-K3-0.8278)^2+0.0355*(-0.5836*L3-1)^2-0.0555*SIN(7.2184*J3+0.5836)-0.0289*SIN(6.5657*N3-7.0156)-0.0529*SIN(4.1635*Y3-6.3993)+0.0334*SIN(0.4127*AA3-7.7931)+0.0732*SIN(0.8*AB3-10)+0.0366*SIN(6.0121*G3+5.19960021972656)+0.1422*SIN(7.3551*H3+6.1722)+0.3077*SIN(8.2066*I3-9.5966)+0.011*TAN(4.8096*M3+1.7911)+0.0218*TAN(1.6314*AC3+6.1852)-1)^2+0.0028*EXP(1.1099*K3)+0.0111*EXP(0.9182*L3)-0.0005*EXP(1.0058*L3)-0.0029*EXP(1.2426*L3)+0.0015*EXP(1.5088*L3)-0.0002*EXP(0.3023*O3)+0.0231*EXP(1.0676*X3)+0.0034*EXP(1.1502*X3)-0.0001*EXP(4.8351*X3)+0.001*EXP(2.1889*AC3)-0.0004*EXP(4.7526*AC3)+0.0007*EXP(3.0232*G3)-0.0003*LN(2.7834-2.5871*AC3)+0.0005*LN(5.623-5.2271*AC3)-0.0066*LN(7.9556-4.6918*Z3)+0.0292*LN(8.576-7.9718*AC3)-0.0038*LN(9.4409-5.5014*I3)-0.0004*LN(9.6788-7.9076*X3)+0.0017*LN(9.8921-7.8747*X3)+0.0029*LN(1.5942*AB3+1.7944)+0.0028*LN(7.4166*AD3+5.2084)-0.0192*LN(7.5653*AD3+5.3129)-0.0001*LN(8.8766*AD3+6.2574)-0.9766*SIN(1.8174*J3-1.0212)+0.0009*SIN(3.394*J3-7.1947)+0.0179*SIN(3.5838*J3-6.7989)+0.0018*SIN(3.5986*J3+2.5868)-0.0051*SIN(6.2046*J3+3.7921)+0.0936*SIN(7.2039*J3-2.6115)+0.0049*SIN(7.2184*J3+0.5836)+0.0019*SIN(1.8185*K3+5.2116)+0.0104*SIN(2.227*K3+2.4092)-0.018*SIN(4.2146*K3+9.385)+0.0013*SIN(4.4647*K3+6.7516)+0.0387*SIN(5.5753*K3-9.807)+0.0022*SIN(6.0074*K3-0.6062)+0.0039*SIN(6.1878*K3-1.189)-0.0056*SIN(6.3606*K3-3.8148)-0.0059*SIN(6.4004*K3-6.7887)-0.0005*SIN(6.6252*K3-8.4241)-0.0003*SIN(8.7719*K3+3.7933)+0.0124*SIN(9.0226*K3+0.4127)+0.0009*SIN(9.2362*K3+3.6145)+0.0022*SIN(3.4005*M3-7.7978)+0.025*SIN(4.8096*M3-8.1953)+0.0026*SIN(4.9862*M3-4.9866)-0.002*SIN(5.2059*M3+7.3858)+0.0032*SIN(7.1554*M3-6.9487)+0.0025*SIN(8.7527*M3-2.1954)-0.1793*SIN(8.7706*M3+1.6113)+0.0326*SIN(8.7722*M3-1.5754)-0.0031*SIN(8.9652*M3+7.2026)+0.0716*SIN(9.0035*M3-8.1922)-0.0371*SIN(9.1489*M3+6.8178)-0.0001*SIN(9.5797*M3+3.2086)-0.0011*SIN(1.7806*N3+5.0026)+0.0114*SIN(4.1796*N3-5.9866)-0.0043*SIN(4.6181*N3+1.7994)-0.0432*SIN(6*N3+10)+0.001*SIN(6.2081*N3-0.9789)+0.0026*SIN(6.5657*N3-7.0156)-0.0424*SIN(8.5862*N3+2.5969)+0.0006*SIN(9.3975*N3-7.3958)+0.003*SIN(0.4046*O3-4.1864)+0.0106*SIN(0.6013*O3-7.5963)-0.0028*SIN(0.8098*O3-7.9977)+0.0029*SIN(3.3894*O3-4.5885)+0.0615*SIN(4.4031*O3-2.9981)-0.0057*SIN(5.3991*O3-8.59)+0.0022*SIN(8.21640014648438*O3-2.4047)+0.0024*SIN(8.6048*O3-3.2054)-0.0052*SIN(8.618*O3+6.3853)+0.0168*SIN(8.7863*O3+2.8105)+0.0426*SIN(8.813*O3-9.6077)+0.0999*SIN(9.0183*O3+5.5966)-0.0111*SIN(9.8213*O3-2.8076)+0.0164*SIN(9.9998*O3-3)-0.0003*SIN(1.3946*X3-1.4057)-0.0058*SIN(3.5737*X3+1.1755)+0.0025*SIN(4.1824*X3+7.1814)-0.0013*SIN(4.9731*X3+2.3814)-0.0002*SIN(6.4117*X3-4.1851)-0.0322*SIN(10*X3+6.6)+0.0047*SIN(4.1635*Y3-6.3993)-0.0036*SIN(4.2082*Y3-6.4001)-0.005*SIN(4.3626*Y3+8.777)+0.0014*SIN(4.5624*Y3+5.3806)-0.0428*SIN(7.1376*Y3-8.4354)-0.0027*SIN(8.3793*Y3+0.7876)+0.0008*SIN(5.1897*Z3-5.6033)-0.0018*SIN(10*Z3+3.2)-0.0029*SIN(0.4127*AA3-7.7931)+0.0164*SIN(0.623*AA3-1.4113)+0.1082*SIN(4.9031*AA3-8.3542)-0.0126*SIN(5.1511*AA3-5.6266)-0.0789*SIN(5.5818*AA3+2.18239974975586)+0.0136*SIN(5.757*AA3+1.9934)-0.0006*SIN(5.76959991455078*AA3+2.0235)-0.013*SIN(5.9389*AA3-4.784)-0.0136*SIN(5.9578*AA3-7.7705)+0.0334*SIN(6.5373*AA3-5.9675)-0.0007*SIN(6.5398*AA3+3.0609)-0.0122*SIN(9.7421*AA3-4.3664)-0.0065*SIN(0.8*AB3-10)-0.0037*SIN(6.3813*AB3-5.7898)+0.0098*SIN(7.4373*AB3-6.3734)+0.002*SIN(9.1838*AB3+3.7828)+0.0033*SIN(9.5653*AB3-0.2029)+0.0033*SIN(9.5817*AB3+9.4075)-0*SIN(5.2921*AC3-0.1589)-0.0016*SIN(6.2874*AC3-0.8015)+0.0081*SIN(1.213*C3+5.2021)+0.0014*SIN(1.7976*C3-1.8115)+0.0066*SIN(0.5007*AF3+2.3303)-0.0032*SIN(6.0121*G3+5.19960021972656)-0.101*SIN(6.20240020751953*G3+1.7746)+0.0472*SIN(7.6254*G3+3.8222)-0*SIN(8.9894*G3+4.2096)+0.0016*SIN(9.7821*G3+2.3931)+0.0054*SIN(2.0023*H3-6.8078)+0.0014*SIN(3.0821*H3-1.5883)-0.0394*SIN(5.1807*H3+9.5933)+0.0089*SIN(5.1874*H3-0.1949)-0.0053*SIN(5.4017*H3-5.9841)+0.0178*SIN(5.9565*H3-2.611)-0.0125*SIN(7.3551*H3+6.1722)+0.0001*SIN(7.9897*H3+6.408)-0.0067*SIN(8.3601*H3-2.5754)+0.0019*SIN(8.7636*H3+8.9782)+0.0123*SIN(9.0006*H3+8.8021)+0.0626*SIN(9.1392*H3+6.7824)-0.0013*SIN(9.3383*H3+5.8458)-0.0478*SIN(0.8026*I3-7.2046)+0.0136*SIN(6.5775*I3-4.613)-0.0271*SIN(8.2066*I3-9.5966)+0.0079*SIN(8.3558*I3+6.1568)+0.0047*SIN(9.211*I3+6.8086)-0.0005*SIN(10*I3+6)+0.0008*SIN(-0.0345*A3-0.0174*J3+0.0087*P3+0.0889*Q3-0.1745*R3-0.1405*S3+0.0324*B3+0.0424*T3-0.0084*U3-0.0403*V3+0.0854*W3-0.1448*Y3+0.0435*Z3-0.1681*AC3+0.0738*C3-0.1416*AD3-0.0603*AE3+0.0708*AF3+0.0112*D3-0.8901*E3+0.0055*F3+0.0528*G3+0.0046*I3+0.0229*(-0.8379*L3-1)^2+0.0394*LN(1.5942*AB3+1.7944)+0.0522*SIN(6.1878*K3-1.189)+0.0388*SIN(3.3894*O3-4.5885)-0.0787*SIN(3.5737*X3+1.1755)+0.0008*TAN(4.1986*M3-8.192)-0.0031*TAN(9.6038*N3-2.241)+0.0369*ABS(9.5474*AA3+2.437)-9.128+0.0141*EXP(-1.8835*H3))-0.0041*SIN(-0.0212*A3-0.046*O3+0.0142*P3-0.0084*Q3+0.0524*R3+0.0249*S3+0.0262*B3+0.0272*T3+0.0137*U3+0.0262*V3-0.0166*W3+0.0113*Y3-0.0311*Z3+0.0142*AB3-0.0277*C3+0.0824*AE3+0.0943*AF3+0.0254*D3+0.2323*E3+0.0165*F3+0.0088*I3-0.0013*EXP(1.5088*L3)+0.0163*LN(7.5653*AD3+5.3129)+0.8293*SIN(1.8174*J3-1.0212)+0.0153*SIN(4.2146*K3+9.385)+0.1523*SIN(8.7706*M3+1.6113)+0.0273*SIN(10*X3+6.6)+0.0857*SIN(6.20240020751953*G3+1.7746)-0.0104*SIN(9.0006*H3+8.8021)-0.0079*TAN(1.0174*N3+5.356)+0.0123*TAN(7.26399993896484*AC3-9.4214)+0.0148*ABS(5.044*AA3-0.6056)-0.3838)-0.6964*SIN(-0.0197*A3-0.0428*O3+0.0132*P3-0.0078*Q3+0.0488*R3+0.0232*S3+0.0243*B3+0.0253*T3+0.0127*U3+0.0244*V3-0.0155*W3+0.0105*Y3-0.0289*Z3+0.0133*AB3-0.0258*C3+0.0766*AE3+0.0877*AF3+0.0236*D3+0.2161*E3+0.0154*F3+0.0082*I3-0.0012*EXP(1.5088*L3)+0.0152*LN(7.5653*AD3+5.3129)+0.7715*SIN(1.8174*J3-1.0212)+0.0142*SIN(4.2146*K3+9.385)+0.1417*SIN(8.7706*M3+1.6113)+0.0254*SIN(10*X3+6.6)+0.0797*SIN(6.20240020751953*G3+1.7746)-0.0097*SIN(9.0006*H3+8.8021)-0.0074*TAN(1.0174*N3+5.356)+0.0114*TAN(7.26399993896484*AC3-9.4214)+0.0137*ABS(5.044*AA3-0.6056)+9.0089)-0.0283*SIN(-0.0188*A3-0.0408*O3+0.0126*P3-0.0075*Q3+0.0465*R3+0.0221*S3+0.0232*B3+0.0242*T3+0.0121*U3+0.0233*V3-0.0148*W3+0.01*Y3-0.0276*Z3+0.0126*AB3-0.0246*C3+0.0731*AE3+0.0838*AF3+0.0226*D3+0.2062*E3+0.0147*F3+0.0078*I3-0.0011*EXP(1.5088*L3)+0.0145)</f>
        <v>#NUM!</v>
      </c>
      <c r="AL3">
        <f t="shared" si="2"/>
        <v>3.2022024618829348</v>
      </c>
      <c r="AM3">
        <f t="shared" si="3"/>
        <v>2.6278962609099881</v>
      </c>
    </row>
    <row r="4" spans="1:39">
      <c r="A4">
        <v>-0.36971696999999998</v>
      </c>
      <c r="B4">
        <v>1.0859605000000001</v>
      </c>
      <c r="C4">
        <v>-1.3799248</v>
      </c>
      <c r="D4">
        <v>0.538327</v>
      </c>
      <c r="E4">
        <v>-0.64578663999999997</v>
      </c>
      <c r="F4">
        <v>0.33567256000000001</v>
      </c>
      <c r="G4">
        <v>-0.67334970000000005</v>
      </c>
      <c r="H4">
        <v>0.45149228000000002</v>
      </c>
      <c r="I4">
        <v>-0.11429016</v>
      </c>
      <c r="J4">
        <v>0.85105103000000004</v>
      </c>
      <c r="K4">
        <v>-1.0362169000000001</v>
      </c>
      <c r="L4">
        <v>-1.6130357</v>
      </c>
      <c r="M4">
        <v>-0.66542756999999997</v>
      </c>
      <c r="N4">
        <v>-1.2373008000000001</v>
      </c>
      <c r="O4">
        <v>-0.47566825000000001</v>
      </c>
      <c r="P4">
        <v>2.6267849999999999</v>
      </c>
      <c r="Q4">
        <v>0.78772633999999997</v>
      </c>
      <c r="R4">
        <v>1.0790660000000001</v>
      </c>
      <c r="S4">
        <v>0.96271974000000005</v>
      </c>
      <c r="T4">
        <v>-2.0240490000000002</v>
      </c>
      <c r="U4">
        <v>0.23094010000000001</v>
      </c>
      <c r="V4">
        <v>0.4489108</v>
      </c>
      <c r="W4">
        <v>1.4484608999999999</v>
      </c>
      <c r="X4">
        <v>-1.0208579</v>
      </c>
      <c r="Y4">
        <v>-1.2333449999999999</v>
      </c>
      <c r="Z4">
        <v>-1.0089512</v>
      </c>
      <c r="AA4">
        <v>-0.53628653000000004</v>
      </c>
      <c r="AB4">
        <v>0.56462573999999999</v>
      </c>
      <c r="AC4">
        <v>-0.35556144000000001</v>
      </c>
      <c r="AD4">
        <v>-0.46927829999999998</v>
      </c>
      <c r="AE4">
        <v>-0.27568809999999999</v>
      </c>
      <c r="AF4">
        <v>0.35898461999999998</v>
      </c>
      <c r="AG4">
        <v>2.5649492999999999</v>
      </c>
      <c r="AH4">
        <v>2.5807486000000002</v>
      </c>
      <c r="AI4">
        <f t="shared" si="0"/>
        <v>2.4084743429315907</v>
      </c>
      <c r="AJ4">
        <f t="shared" si="1"/>
        <v>2.181906771271648</v>
      </c>
      <c r="AK4">
        <f t="shared" si="4"/>
        <v>-0.54188088582875693</v>
      </c>
      <c r="AL4">
        <f t="shared" si="2"/>
        <v>1.8112146352284122</v>
      </c>
      <c r="AM4" s="3">
        <f t="shared" si="3"/>
        <v>2.5147430101978991</v>
      </c>
    </row>
    <row r="5" spans="1:39">
      <c r="A5">
        <v>-0.36971696999999998</v>
      </c>
      <c r="B5">
        <v>1.0859605000000001</v>
      </c>
      <c r="C5">
        <v>0.99856376999999996</v>
      </c>
      <c r="D5">
        <v>0.538327</v>
      </c>
      <c r="E5">
        <v>-0.64578663999999997</v>
      </c>
      <c r="F5">
        <v>0.33567256000000001</v>
      </c>
      <c r="G5">
        <v>-0.67334970000000005</v>
      </c>
      <c r="H5">
        <v>-0.46896939999999998</v>
      </c>
      <c r="I5">
        <v>0.68828076000000005</v>
      </c>
      <c r="J5">
        <v>-0.30316411999999998</v>
      </c>
      <c r="K5">
        <v>-0.21555388</v>
      </c>
      <c r="L5">
        <v>0.28183150000000001</v>
      </c>
      <c r="M5">
        <v>-0.66542756999999997</v>
      </c>
      <c r="N5">
        <v>-3.7954014000000001E-2</v>
      </c>
      <c r="O5">
        <v>0.85451907000000005</v>
      </c>
      <c r="P5">
        <v>-0.38069350000000002</v>
      </c>
      <c r="Q5">
        <v>0.78772633999999997</v>
      </c>
      <c r="R5">
        <v>1.0790660000000001</v>
      </c>
      <c r="S5">
        <v>0.96271974000000005</v>
      </c>
      <c r="T5">
        <v>0.49405919999999998</v>
      </c>
      <c r="U5">
        <v>0.23094010000000001</v>
      </c>
      <c r="V5">
        <v>0.4489108</v>
      </c>
      <c r="W5">
        <v>-0.69038796000000002</v>
      </c>
      <c r="X5">
        <v>7.6390730000000004E-2</v>
      </c>
      <c r="Y5">
        <v>0.72022410000000003</v>
      </c>
      <c r="Z5">
        <v>0.77221406000000004</v>
      </c>
      <c r="AA5">
        <v>0.62444319999999998</v>
      </c>
      <c r="AB5">
        <v>1.3647232</v>
      </c>
      <c r="AC5">
        <v>1.0757432</v>
      </c>
      <c r="AD5">
        <v>1.0450934999999999</v>
      </c>
      <c r="AE5">
        <v>-1.4856526000000001</v>
      </c>
      <c r="AF5">
        <v>-0.96623899999999996</v>
      </c>
      <c r="AG5">
        <v>2.1972246000000002</v>
      </c>
      <c r="AH5">
        <v>2.0481389000000001</v>
      </c>
      <c r="AI5">
        <f t="shared" si="0"/>
        <v>1.9922677763175862</v>
      </c>
      <c r="AJ5">
        <f t="shared" si="1"/>
        <v>2.0547525770749226</v>
      </c>
      <c r="AK5" t="e">
        <f t="shared" si="4"/>
        <v>#NUM!</v>
      </c>
      <c r="AL5">
        <f t="shared" si="2"/>
        <v>1.6112505692471863</v>
      </c>
      <c r="AM5" s="3">
        <f t="shared" si="3"/>
        <v>2.0752785087311478</v>
      </c>
    </row>
    <row r="6" spans="1:39">
      <c r="A6">
        <v>-0.36971696999999998</v>
      </c>
      <c r="B6">
        <v>1.0859605000000001</v>
      </c>
      <c r="C6">
        <v>-1.3799248</v>
      </c>
      <c r="D6">
        <v>0.538327</v>
      </c>
      <c r="E6">
        <v>-0.64578663999999997</v>
      </c>
      <c r="F6">
        <v>0.33567256000000001</v>
      </c>
      <c r="G6">
        <v>1.1609478</v>
      </c>
      <c r="H6">
        <v>1.3719539999999999</v>
      </c>
      <c r="I6">
        <v>1.4908516000000001</v>
      </c>
      <c r="J6">
        <v>-1.4573792999999999</v>
      </c>
      <c r="K6">
        <v>1.4257721000000001</v>
      </c>
      <c r="L6">
        <v>0.28183150000000001</v>
      </c>
      <c r="M6">
        <v>-0.66542756999999997</v>
      </c>
      <c r="N6">
        <v>-3.7954014000000001E-2</v>
      </c>
      <c r="O6">
        <v>-0.47566825000000001</v>
      </c>
      <c r="P6">
        <v>-0.38069350000000002</v>
      </c>
      <c r="Q6">
        <v>0.78772633999999997</v>
      </c>
      <c r="R6">
        <v>-0.92672730000000003</v>
      </c>
      <c r="S6">
        <v>0.96271974000000005</v>
      </c>
      <c r="T6">
        <v>0.49405919999999998</v>
      </c>
      <c r="U6">
        <v>0.23094010000000001</v>
      </c>
      <c r="V6">
        <v>-2.227614</v>
      </c>
      <c r="W6">
        <v>-0.69038796000000002</v>
      </c>
      <c r="X6">
        <v>-1.0208579</v>
      </c>
      <c r="Y6">
        <v>-1.2333449999999999</v>
      </c>
      <c r="Z6">
        <v>-1.0089512</v>
      </c>
      <c r="AA6">
        <v>-0.53628653000000004</v>
      </c>
      <c r="AB6">
        <v>-1.0355692000000001</v>
      </c>
      <c r="AC6">
        <v>1.0757432</v>
      </c>
      <c r="AD6">
        <v>-0.23629803999999999</v>
      </c>
      <c r="AE6">
        <v>0.93427634000000004</v>
      </c>
      <c r="AF6">
        <v>1.1541188</v>
      </c>
      <c r="AG6">
        <v>2.7725887</v>
      </c>
      <c r="AH6">
        <v>2.582713</v>
      </c>
      <c r="AI6" s="3">
        <f t="shared" si="0"/>
        <v>2.7765315490227311</v>
      </c>
      <c r="AJ6">
        <f t="shared" si="1"/>
        <v>2.5469552975881706</v>
      </c>
      <c r="AK6" t="e">
        <f t="shared" si="4"/>
        <v>#NUM!</v>
      </c>
      <c r="AL6">
        <f t="shared" si="2"/>
        <v>2.1201205961588476</v>
      </c>
      <c r="AM6">
        <f t="shared" si="3"/>
        <v>2.9453197694167197</v>
      </c>
    </row>
    <row r="7" spans="1:39">
      <c r="A7">
        <v>-0.36971696999999998</v>
      </c>
      <c r="B7">
        <v>-0.92084379999999999</v>
      </c>
      <c r="C7">
        <v>-0.58709526000000001</v>
      </c>
      <c r="D7">
        <v>0.538327</v>
      </c>
      <c r="E7">
        <v>-0.64578663999999997</v>
      </c>
      <c r="F7">
        <v>0.33567256000000001</v>
      </c>
      <c r="G7">
        <v>0.24379903</v>
      </c>
      <c r="H7">
        <v>0.45149228000000002</v>
      </c>
      <c r="I7">
        <v>-0.11429016</v>
      </c>
      <c r="J7">
        <v>-0.30316411999999998</v>
      </c>
      <c r="K7">
        <v>-0.21555388</v>
      </c>
      <c r="L7">
        <v>-1.6130357</v>
      </c>
      <c r="M7">
        <v>-0.66542756999999997</v>
      </c>
      <c r="N7">
        <v>-3.7954014000000001E-2</v>
      </c>
      <c r="O7">
        <v>-0.47566825000000001</v>
      </c>
      <c r="P7">
        <v>-0.38069350000000002</v>
      </c>
      <c r="Q7">
        <v>0.78772633999999997</v>
      </c>
      <c r="R7">
        <v>1.0790660000000001</v>
      </c>
      <c r="S7">
        <v>-1.038724</v>
      </c>
      <c r="T7">
        <v>0.49405919999999998</v>
      </c>
      <c r="U7">
        <v>0.23094010000000001</v>
      </c>
      <c r="V7">
        <v>-2.227614</v>
      </c>
      <c r="W7">
        <v>-0.69038796000000002</v>
      </c>
      <c r="X7">
        <v>7.6390730000000004E-2</v>
      </c>
      <c r="Y7">
        <v>-0.25656050000000002</v>
      </c>
      <c r="Z7">
        <v>-1.0089512</v>
      </c>
      <c r="AA7">
        <v>-0.53628653000000004</v>
      </c>
      <c r="AB7">
        <v>-0.23547171</v>
      </c>
      <c r="AC7">
        <v>1.0757432</v>
      </c>
      <c r="AD7">
        <v>-0.23629803999999999</v>
      </c>
      <c r="AE7">
        <v>-1.4856526000000001</v>
      </c>
      <c r="AF7">
        <v>-0.17110481999999999</v>
      </c>
      <c r="AG7">
        <v>2.3978953000000001</v>
      </c>
      <c r="AH7">
        <v>2.2892381999999998</v>
      </c>
      <c r="AI7">
        <f t="shared" si="0"/>
        <v>2.0796111160384161</v>
      </c>
      <c r="AJ7">
        <f t="shared" si="1"/>
        <v>2.0156602922804012</v>
      </c>
      <c r="AK7" t="e">
        <f t="shared" si="4"/>
        <v>#NUM!</v>
      </c>
      <c r="AL7">
        <f t="shared" si="2"/>
        <v>1.3976766694468934</v>
      </c>
      <c r="AM7" s="3">
        <f t="shared" si="3"/>
        <v>2.348582008501181</v>
      </c>
    </row>
    <row r="8" spans="1:39">
      <c r="A8">
        <v>-0.36971696999999998</v>
      </c>
      <c r="B8">
        <v>-0.92084379999999999</v>
      </c>
      <c r="C8">
        <v>0.20573424000000001</v>
      </c>
      <c r="D8">
        <v>-1.8576071000000001</v>
      </c>
      <c r="E8">
        <v>-0.64578663999999997</v>
      </c>
      <c r="F8">
        <v>0.33567256000000001</v>
      </c>
      <c r="G8">
        <v>-0.67334970000000005</v>
      </c>
      <c r="H8">
        <v>1.3719539999999999</v>
      </c>
      <c r="I8">
        <v>-1.7194320000000001</v>
      </c>
      <c r="J8">
        <v>-0.30316411999999998</v>
      </c>
      <c r="K8">
        <v>-1.0362169000000001</v>
      </c>
      <c r="L8">
        <v>-1.6130357</v>
      </c>
      <c r="M8">
        <v>-0.66542756999999997</v>
      </c>
      <c r="N8">
        <v>1.1613928</v>
      </c>
      <c r="O8">
        <v>-0.47566825000000001</v>
      </c>
      <c r="P8">
        <v>-0.38069350000000002</v>
      </c>
      <c r="Q8">
        <v>0.78772633999999997</v>
      </c>
      <c r="R8">
        <v>-0.92672730000000003</v>
      </c>
      <c r="S8">
        <v>-1.038724</v>
      </c>
      <c r="T8">
        <v>0.49405919999999998</v>
      </c>
      <c r="U8">
        <v>0.23094010000000001</v>
      </c>
      <c r="V8">
        <v>0.4489108</v>
      </c>
      <c r="W8">
        <v>1.4484608999999999</v>
      </c>
      <c r="X8">
        <v>7.6390730000000004E-2</v>
      </c>
      <c r="Y8">
        <v>0.72022410000000003</v>
      </c>
      <c r="Z8">
        <v>-0.11836857000000001</v>
      </c>
      <c r="AA8">
        <v>-0.53628653000000004</v>
      </c>
      <c r="AB8">
        <v>-1.0355692000000001</v>
      </c>
      <c r="AC8">
        <v>1.0757432</v>
      </c>
      <c r="AD8">
        <v>0.11317238</v>
      </c>
      <c r="AE8">
        <v>0.32929412000000002</v>
      </c>
      <c r="AF8">
        <v>0.88907400000000003</v>
      </c>
      <c r="AG8">
        <v>2.7080503</v>
      </c>
      <c r="AH8">
        <v>2.5698574000000001</v>
      </c>
      <c r="AI8" s="3">
        <f t="shared" si="0"/>
        <v>2.711856602293353</v>
      </c>
      <c r="AJ8">
        <f t="shared" si="1"/>
        <v>2.1896912075435262</v>
      </c>
      <c r="AK8" t="e">
        <f t="shared" si="4"/>
        <v>#NUM!</v>
      </c>
      <c r="AL8">
        <f t="shared" si="2"/>
        <v>3.1398115294956939</v>
      </c>
      <c r="AM8">
        <f t="shared" si="3"/>
        <v>2.5101825536451265</v>
      </c>
    </row>
    <row r="9" spans="1:39">
      <c r="A9">
        <v>-0.36971696999999998</v>
      </c>
      <c r="B9">
        <v>1.0859605000000001</v>
      </c>
      <c r="C9">
        <v>0.20573424000000001</v>
      </c>
      <c r="D9">
        <v>0.538327</v>
      </c>
      <c r="E9">
        <v>-0.64578663999999997</v>
      </c>
      <c r="F9">
        <v>0.33567256000000001</v>
      </c>
      <c r="G9">
        <v>0.24379903</v>
      </c>
      <c r="H9">
        <v>0.45149228000000002</v>
      </c>
      <c r="I9">
        <v>-0.11429016</v>
      </c>
      <c r="J9">
        <v>-0.30316411999999998</v>
      </c>
      <c r="K9">
        <v>1.4257721000000001</v>
      </c>
      <c r="L9">
        <v>-1.6130357</v>
      </c>
      <c r="M9">
        <v>-0.66542756999999997</v>
      </c>
      <c r="N9">
        <v>-3.7954014000000001E-2</v>
      </c>
      <c r="O9">
        <v>-0.47566825000000001</v>
      </c>
      <c r="P9">
        <v>-0.38069350000000002</v>
      </c>
      <c r="Q9">
        <v>-1.2694764000000001</v>
      </c>
      <c r="R9">
        <v>-0.92672730000000003</v>
      </c>
      <c r="S9">
        <v>0.96271974000000005</v>
      </c>
      <c r="T9">
        <v>-2.0240490000000002</v>
      </c>
      <c r="U9">
        <v>0.23094010000000001</v>
      </c>
      <c r="V9">
        <v>0.4489108</v>
      </c>
      <c r="W9">
        <v>-0.69038796000000002</v>
      </c>
      <c r="X9">
        <v>7.6390730000000004E-2</v>
      </c>
      <c r="Y9">
        <v>-0.25656050000000002</v>
      </c>
      <c r="Z9">
        <v>0.77221406000000004</v>
      </c>
      <c r="AA9">
        <v>-0.53628653000000004</v>
      </c>
      <c r="AB9">
        <v>1.3647232</v>
      </c>
      <c r="AC9">
        <v>0.36009088</v>
      </c>
      <c r="AD9">
        <v>-0.23629803999999999</v>
      </c>
      <c r="AE9">
        <v>-1.4856526000000001</v>
      </c>
      <c r="AF9">
        <v>-1.4963283999999999</v>
      </c>
      <c r="AG9">
        <v>1.9459101000000001</v>
      </c>
      <c r="AH9">
        <v>1.5886946</v>
      </c>
      <c r="AI9">
        <f t="shared" si="0"/>
        <v>1.5762109831115008</v>
      </c>
      <c r="AJ9" s="3">
        <f t="shared" si="1"/>
        <v>1.9304338732411328</v>
      </c>
      <c r="AK9">
        <f t="shared" si="4"/>
        <v>9.0602688338464868E-2</v>
      </c>
      <c r="AL9">
        <f t="shared" si="2"/>
        <v>1.6326661364845665</v>
      </c>
      <c r="AM9">
        <f t="shared" si="3"/>
        <v>1.9097722085667321</v>
      </c>
    </row>
    <row r="10" spans="1:39">
      <c r="A10">
        <v>2.7047715000000001</v>
      </c>
      <c r="B10">
        <v>-0.92084379999999999</v>
      </c>
      <c r="C10">
        <v>0.99856376999999996</v>
      </c>
      <c r="D10">
        <v>-1.8576071000000001</v>
      </c>
      <c r="E10">
        <v>-0.64578663999999997</v>
      </c>
      <c r="F10">
        <v>0.33567256000000001</v>
      </c>
      <c r="G10">
        <v>1.1609478</v>
      </c>
      <c r="H10">
        <v>1.3719539999999999</v>
      </c>
      <c r="I10">
        <v>1.4908516000000001</v>
      </c>
      <c r="J10">
        <v>-2.6115944</v>
      </c>
      <c r="K10">
        <v>1.4257721000000001</v>
      </c>
      <c r="L10">
        <v>0.28183150000000001</v>
      </c>
      <c r="M10">
        <v>2.3171979999999999</v>
      </c>
      <c r="N10">
        <v>-1.2373008000000001</v>
      </c>
      <c r="O10">
        <v>-0.47566825000000001</v>
      </c>
      <c r="P10">
        <v>-0.38069350000000002</v>
      </c>
      <c r="Q10">
        <v>0.78772633999999997</v>
      </c>
      <c r="R10">
        <v>1.0790660000000001</v>
      </c>
      <c r="S10">
        <v>0.96271974000000005</v>
      </c>
      <c r="T10">
        <v>0.49405919999999998</v>
      </c>
      <c r="U10">
        <v>0.23094010000000001</v>
      </c>
      <c r="V10">
        <v>0.4489108</v>
      </c>
      <c r="W10">
        <v>1.4484608999999999</v>
      </c>
      <c r="X10">
        <v>7.6390730000000004E-2</v>
      </c>
      <c r="Y10">
        <v>0.72022410000000003</v>
      </c>
      <c r="Z10">
        <v>-0.11836857000000001</v>
      </c>
      <c r="AA10">
        <v>0.62444319999999998</v>
      </c>
      <c r="AB10">
        <v>-0.23547171</v>
      </c>
      <c r="AC10">
        <v>1.0757432</v>
      </c>
      <c r="AD10">
        <v>0.11317238</v>
      </c>
      <c r="AE10">
        <v>-1.4856526000000001</v>
      </c>
      <c r="AF10">
        <v>-1.4963283999999999</v>
      </c>
      <c r="AG10">
        <v>1.9459101000000001</v>
      </c>
      <c r="AH10">
        <v>1.8385815999999999</v>
      </c>
      <c r="AI10">
        <f t="shared" si="0"/>
        <v>1.4659947120458707</v>
      </c>
      <c r="AJ10">
        <f t="shared" si="1"/>
        <v>1.6425944715425884</v>
      </c>
      <c r="AK10" t="e">
        <f t="shared" si="4"/>
        <v>#NUM!</v>
      </c>
      <c r="AL10">
        <f t="shared" si="2"/>
        <v>2.7535752188674349</v>
      </c>
      <c r="AM10" s="3">
        <f t="shared" si="3"/>
        <v>2.0056167555519213</v>
      </c>
    </row>
    <row r="11" spans="1:39">
      <c r="A11">
        <v>-0.36971696999999998</v>
      </c>
      <c r="B11">
        <v>1.0859605000000001</v>
      </c>
      <c r="C11">
        <v>-0.58709526000000001</v>
      </c>
      <c r="D11">
        <v>-1.8576071000000001</v>
      </c>
      <c r="E11">
        <v>-0.64578663999999997</v>
      </c>
      <c r="F11">
        <v>0.33567256000000001</v>
      </c>
      <c r="G11">
        <v>1.1609478</v>
      </c>
      <c r="H11">
        <v>-0.46896939999999998</v>
      </c>
      <c r="I11">
        <v>1.4908516000000001</v>
      </c>
      <c r="J11">
        <v>0.85105103000000004</v>
      </c>
      <c r="K11">
        <v>0.60510909999999996</v>
      </c>
      <c r="L11">
        <v>0.28183150000000001</v>
      </c>
      <c r="M11">
        <v>-0.66542756999999997</v>
      </c>
      <c r="N11">
        <v>-1.2373008000000001</v>
      </c>
      <c r="O11">
        <v>-0.47566825000000001</v>
      </c>
      <c r="P11">
        <v>-0.38069350000000002</v>
      </c>
      <c r="Q11">
        <v>0.78772633999999997</v>
      </c>
      <c r="R11">
        <v>-0.92672730000000003</v>
      </c>
      <c r="S11">
        <v>0.96271974000000005</v>
      </c>
      <c r="T11">
        <v>0.49405919999999998</v>
      </c>
      <c r="U11">
        <v>0.23094010000000001</v>
      </c>
      <c r="V11">
        <v>0.4489108</v>
      </c>
      <c r="W11">
        <v>1.4484608999999999</v>
      </c>
      <c r="X11">
        <v>7.6390730000000004E-2</v>
      </c>
      <c r="Y11">
        <v>-0.25656050000000002</v>
      </c>
      <c r="Z11">
        <v>-0.11836857000000001</v>
      </c>
      <c r="AA11">
        <v>1.7851729000000001</v>
      </c>
      <c r="AB11">
        <v>1.3647232</v>
      </c>
      <c r="AC11">
        <v>-0.35556144000000001</v>
      </c>
      <c r="AD11">
        <v>0.46264280000000002</v>
      </c>
      <c r="AE11">
        <v>-0.27568809999999999</v>
      </c>
      <c r="AF11">
        <v>-0.70119419999999999</v>
      </c>
      <c r="AG11">
        <v>2.3025850999999999</v>
      </c>
      <c r="AH11">
        <v>2.29955</v>
      </c>
      <c r="AI11">
        <f t="shared" si="0"/>
        <v>2.0181163423832307</v>
      </c>
      <c r="AJ11">
        <f t="shared" si="1"/>
        <v>1.9207650210649916</v>
      </c>
      <c r="AK11">
        <f t="shared" si="4"/>
        <v>-0.48412793508494528</v>
      </c>
      <c r="AL11">
        <f t="shared" si="2"/>
        <v>2.8940734571075222</v>
      </c>
      <c r="AM11" s="3">
        <f t="shared" si="3"/>
        <v>2.1673240010267798</v>
      </c>
    </row>
    <row r="12" spans="1:39">
      <c r="A12">
        <v>-0.36971696999999998</v>
      </c>
      <c r="B12">
        <v>1.0859605000000001</v>
      </c>
      <c r="C12">
        <v>0.20573424000000001</v>
      </c>
      <c r="D12">
        <v>0.538327</v>
      </c>
      <c r="E12">
        <v>-0.64578663999999997</v>
      </c>
      <c r="F12">
        <v>0.33567256000000001</v>
      </c>
      <c r="G12">
        <v>0.24379903</v>
      </c>
      <c r="H12">
        <v>-1.3894310999999999</v>
      </c>
      <c r="I12">
        <v>0.68828076000000005</v>
      </c>
      <c r="J12">
        <v>-0.30316411999999998</v>
      </c>
      <c r="K12">
        <v>0.60510909999999996</v>
      </c>
      <c r="L12">
        <v>0.28183150000000001</v>
      </c>
      <c r="M12">
        <v>-0.66542756999999997</v>
      </c>
      <c r="N12">
        <v>-3.7954014000000001E-2</v>
      </c>
      <c r="O12">
        <v>-0.47566825000000001</v>
      </c>
      <c r="P12">
        <v>-0.38069350000000002</v>
      </c>
      <c r="Q12">
        <v>-1.2694764000000001</v>
      </c>
      <c r="R12">
        <v>1.0790660000000001</v>
      </c>
      <c r="S12">
        <v>0.96271974000000005</v>
      </c>
      <c r="T12">
        <v>0.49405919999999998</v>
      </c>
      <c r="U12">
        <v>0.23094010000000001</v>
      </c>
      <c r="V12">
        <v>0.4489108</v>
      </c>
      <c r="W12">
        <v>1.4484608999999999</v>
      </c>
      <c r="X12">
        <v>1.1736394000000001</v>
      </c>
      <c r="Y12">
        <v>0.72022410000000003</v>
      </c>
      <c r="Z12">
        <v>0.77221406000000004</v>
      </c>
      <c r="AA12">
        <v>1.7851729000000001</v>
      </c>
      <c r="AB12">
        <v>1.3647232</v>
      </c>
      <c r="AC12">
        <v>1.0757432</v>
      </c>
      <c r="AD12">
        <v>-0.46927829999999998</v>
      </c>
      <c r="AE12">
        <v>-0.57817923999999998</v>
      </c>
      <c r="AF12">
        <v>-0.43614954</v>
      </c>
      <c r="AG12">
        <v>2.3978953000000001</v>
      </c>
      <c r="AH12">
        <v>2.4325570000000001</v>
      </c>
      <c r="AI12" s="3">
        <f t="shared" si="0"/>
        <v>2.2029585593023291</v>
      </c>
      <c r="AJ12">
        <f t="shared" si="1"/>
        <v>2.1168213083955081</v>
      </c>
      <c r="AK12" t="e">
        <f t="shared" si="4"/>
        <v>#NUM!</v>
      </c>
      <c r="AL12">
        <f t="shared" si="2"/>
        <v>1.7933686221092284</v>
      </c>
      <c r="AM12">
        <f t="shared" si="3"/>
        <v>2.128759957301285</v>
      </c>
    </row>
    <row r="13" spans="1:39">
      <c r="A13">
        <v>-0.36971696999999998</v>
      </c>
      <c r="B13">
        <v>1.0859605000000001</v>
      </c>
      <c r="C13">
        <v>-1.3799248</v>
      </c>
      <c r="D13">
        <v>0.538327</v>
      </c>
      <c r="E13">
        <v>-0.64578663999999997</v>
      </c>
      <c r="F13">
        <v>0.33567256000000001</v>
      </c>
      <c r="G13">
        <v>1.1609478</v>
      </c>
      <c r="H13">
        <v>1.3719539999999999</v>
      </c>
      <c r="I13">
        <v>-0.91686106000000001</v>
      </c>
      <c r="J13">
        <v>-1.4573792999999999</v>
      </c>
      <c r="K13">
        <v>0.60510909999999996</v>
      </c>
      <c r="L13">
        <v>-1.6130357</v>
      </c>
      <c r="M13">
        <v>-0.66542756999999997</v>
      </c>
      <c r="N13">
        <v>-1.2373008000000001</v>
      </c>
      <c r="O13">
        <v>-0.47566825000000001</v>
      </c>
      <c r="P13">
        <v>-0.38069350000000002</v>
      </c>
      <c r="Q13">
        <v>0.78772633999999997</v>
      </c>
      <c r="R13">
        <v>1.0790660000000001</v>
      </c>
      <c r="S13">
        <v>-1.038724</v>
      </c>
      <c r="T13">
        <v>0.49405919999999998</v>
      </c>
      <c r="U13">
        <v>0.23094010000000001</v>
      </c>
      <c r="V13">
        <v>0.4489108</v>
      </c>
      <c r="W13">
        <v>-0.69038796000000002</v>
      </c>
      <c r="X13">
        <v>1.1736394000000001</v>
      </c>
      <c r="Y13">
        <v>0.72022410000000003</v>
      </c>
      <c r="Z13">
        <v>-1.0089512</v>
      </c>
      <c r="AA13">
        <v>-0.53628653000000004</v>
      </c>
      <c r="AB13">
        <v>-1.0355692000000001</v>
      </c>
      <c r="AC13">
        <v>1.0757432</v>
      </c>
      <c r="AD13">
        <v>-0.70225859999999996</v>
      </c>
      <c r="AE13">
        <v>0.32929412000000002</v>
      </c>
      <c r="AF13">
        <v>1.1541188</v>
      </c>
      <c r="AG13">
        <v>2.7725887</v>
      </c>
      <c r="AH13">
        <v>2.5625543999999998</v>
      </c>
      <c r="AI13">
        <f t="shared" si="0"/>
        <v>2.9227586774642522</v>
      </c>
      <c r="AJ13">
        <f t="shared" si="1"/>
        <v>2.5305656942583283</v>
      </c>
      <c r="AK13" t="e">
        <f t="shared" si="4"/>
        <v>#NUM!</v>
      </c>
      <c r="AL13" t="e">
        <f t="shared" si="2"/>
        <v>#NUM!</v>
      </c>
      <c r="AM13" s="3">
        <f t="shared" si="3"/>
        <v>2.7622873781716004</v>
      </c>
    </row>
    <row r="14" spans="1:39">
      <c r="A14">
        <v>-0.36971696999999998</v>
      </c>
      <c r="B14">
        <v>-0.92084379999999999</v>
      </c>
      <c r="C14">
        <v>0.20573424000000001</v>
      </c>
      <c r="D14">
        <v>0.538327</v>
      </c>
      <c r="E14">
        <v>1.5484990999999999</v>
      </c>
      <c r="F14">
        <v>0.33567256000000001</v>
      </c>
      <c r="G14">
        <v>-0.67334970000000005</v>
      </c>
      <c r="H14">
        <v>-0.46896939999999998</v>
      </c>
      <c r="I14">
        <v>-0.11429016</v>
      </c>
      <c r="J14">
        <v>-0.30316411999999998</v>
      </c>
      <c r="K14">
        <v>-1.0362169000000001</v>
      </c>
      <c r="L14">
        <v>-1.6130357</v>
      </c>
      <c r="M14">
        <v>-0.66542756999999997</v>
      </c>
      <c r="N14">
        <v>-1.2373008000000001</v>
      </c>
      <c r="O14">
        <v>-0.47566825000000001</v>
      </c>
      <c r="P14">
        <v>-0.38069350000000002</v>
      </c>
      <c r="Q14">
        <v>0.78772633999999997</v>
      </c>
      <c r="R14">
        <v>-0.92672730000000003</v>
      </c>
      <c r="S14">
        <v>-1.038724</v>
      </c>
      <c r="T14">
        <v>0.49405919999999998</v>
      </c>
      <c r="U14">
        <v>0.23094010000000001</v>
      </c>
      <c r="V14">
        <v>0.4489108</v>
      </c>
      <c r="W14">
        <v>1.4484608999999999</v>
      </c>
      <c r="X14">
        <v>-1.0208579</v>
      </c>
      <c r="Y14">
        <v>0.72022410000000003</v>
      </c>
      <c r="Z14">
        <v>0.77221406000000004</v>
      </c>
      <c r="AA14">
        <v>-0.53628653000000004</v>
      </c>
      <c r="AB14">
        <v>0.56462573999999999</v>
      </c>
      <c r="AC14">
        <v>1.0757432</v>
      </c>
      <c r="AD14">
        <v>0.69562310000000005</v>
      </c>
      <c r="AE14">
        <v>-0.27568809999999999</v>
      </c>
      <c r="AF14">
        <v>0.62402933999999999</v>
      </c>
      <c r="AG14">
        <v>2.5649492999999999</v>
      </c>
      <c r="AH14">
        <v>2.2481884999999999</v>
      </c>
      <c r="AI14">
        <f t="shared" si="0"/>
        <v>2.791519890486259</v>
      </c>
      <c r="AJ14">
        <f t="shared" si="1"/>
        <v>2.2626065197963183</v>
      </c>
      <c r="AK14" t="e">
        <f t="shared" si="4"/>
        <v>#NUM!</v>
      </c>
      <c r="AL14">
        <f t="shared" si="2"/>
        <v>1.9869416807807709</v>
      </c>
      <c r="AM14" s="3">
        <f t="shared" si="3"/>
        <v>2.5356180134104966</v>
      </c>
    </row>
    <row r="15" spans="1:39">
      <c r="A15">
        <v>-0.36971696999999998</v>
      </c>
      <c r="B15">
        <v>-0.92084379999999999</v>
      </c>
      <c r="C15">
        <v>-0.58709526000000001</v>
      </c>
      <c r="D15">
        <v>0.538327</v>
      </c>
      <c r="E15">
        <v>1.5484990999999999</v>
      </c>
      <c r="F15">
        <v>0.33567256000000001</v>
      </c>
      <c r="G15">
        <v>0.24379903</v>
      </c>
      <c r="H15">
        <v>-1.3894310999999999</v>
      </c>
      <c r="I15">
        <v>-0.11429016</v>
      </c>
      <c r="J15">
        <v>-0.30316411999999998</v>
      </c>
      <c r="K15">
        <v>-0.21555388</v>
      </c>
      <c r="L15">
        <v>-1.6130357</v>
      </c>
      <c r="M15">
        <v>-0.66542756999999997</v>
      </c>
      <c r="N15">
        <v>-3.7954014000000001E-2</v>
      </c>
      <c r="O15">
        <v>-0.47566825000000001</v>
      </c>
      <c r="P15">
        <v>2.6267849999999999</v>
      </c>
      <c r="Q15">
        <v>0.78772633999999997</v>
      </c>
      <c r="R15">
        <v>-0.92672730000000003</v>
      </c>
      <c r="S15">
        <v>-1.038724</v>
      </c>
      <c r="T15">
        <v>0.49405919999999998</v>
      </c>
      <c r="U15">
        <v>0.23094010000000001</v>
      </c>
      <c r="V15">
        <v>-2.227614</v>
      </c>
      <c r="W15">
        <v>-0.69038796000000002</v>
      </c>
      <c r="X15">
        <v>-1.0208579</v>
      </c>
      <c r="Y15">
        <v>-0.25656050000000002</v>
      </c>
      <c r="Z15">
        <v>-0.11836857000000001</v>
      </c>
      <c r="AA15">
        <v>0.62444319999999998</v>
      </c>
      <c r="AB15">
        <v>0.56462573999999999</v>
      </c>
      <c r="AC15">
        <v>-1.0712136999999999</v>
      </c>
      <c r="AD15">
        <v>-0.23629803999999999</v>
      </c>
      <c r="AE15">
        <v>-1.1831613999999999</v>
      </c>
      <c r="AF15">
        <v>-1.2312837000000001</v>
      </c>
      <c r="AG15">
        <v>1.9459101000000001</v>
      </c>
      <c r="AH15">
        <v>2.1271170000000001</v>
      </c>
      <c r="AI15" s="3">
        <f t="shared" si="0"/>
        <v>1.9949973780131975</v>
      </c>
      <c r="AJ15">
        <f t="shared" si="1"/>
        <v>2.0033839085785679</v>
      </c>
      <c r="AK15">
        <f t="shared" si="4"/>
        <v>-7.365714184801881E-3</v>
      </c>
      <c r="AL15">
        <f t="shared" si="2"/>
        <v>2.8625198003770107</v>
      </c>
      <c r="AM15">
        <f t="shared" si="3"/>
        <v>2.0732488507031448</v>
      </c>
    </row>
    <row r="16" spans="1:39">
      <c r="A16">
        <v>-0.36971696999999998</v>
      </c>
      <c r="B16">
        <v>-0.92084379999999999</v>
      </c>
      <c r="C16">
        <v>0.20573424000000001</v>
      </c>
      <c r="D16">
        <v>0.538327</v>
      </c>
      <c r="E16">
        <v>1.5484990999999999</v>
      </c>
      <c r="F16">
        <v>0.33567256000000001</v>
      </c>
      <c r="G16">
        <v>-2.5076472999999999</v>
      </c>
      <c r="H16">
        <v>-0.46896939999999998</v>
      </c>
      <c r="I16">
        <v>-1.7194320000000001</v>
      </c>
      <c r="J16">
        <v>-2.6115944</v>
      </c>
      <c r="K16">
        <v>-0.21555388</v>
      </c>
      <c r="L16">
        <v>-1.6130357</v>
      </c>
      <c r="M16">
        <v>0.82588523999999996</v>
      </c>
      <c r="N16">
        <v>1.1613928</v>
      </c>
      <c r="O16">
        <v>-0.47566825000000001</v>
      </c>
      <c r="P16">
        <v>-0.38069350000000002</v>
      </c>
      <c r="Q16">
        <v>-1.2694764000000001</v>
      </c>
      <c r="R16">
        <v>-0.92672730000000003</v>
      </c>
      <c r="S16">
        <v>-1.038724</v>
      </c>
      <c r="T16">
        <v>0.49405919999999998</v>
      </c>
      <c r="U16">
        <v>0.23094010000000001</v>
      </c>
      <c r="V16">
        <v>0.4489108</v>
      </c>
      <c r="W16">
        <v>-0.69038796000000002</v>
      </c>
      <c r="X16">
        <v>-1.0208579</v>
      </c>
      <c r="Y16">
        <v>-0.25656050000000002</v>
      </c>
      <c r="Z16">
        <v>-0.11836857000000001</v>
      </c>
      <c r="AA16">
        <v>0.62444319999999998</v>
      </c>
      <c r="AB16">
        <v>0.56462573999999999</v>
      </c>
      <c r="AC16">
        <v>-1.0712136999999999</v>
      </c>
      <c r="AD16">
        <v>-0.70225859999999996</v>
      </c>
      <c r="AE16">
        <v>1.5392585999999999</v>
      </c>
      <c r="AF16">
        <v>1.1541188</v>
      </c>
      <c r="AG16">
        <v>2.7725887</v>
      </c>
      <c r="AH16">
        <v>2.9049393999999999</v>
      </c>
      <c r="AI16">
        <f t="shared" si="0"/>
        <v>2.6037235142995439</v>
      </c>
      <c r="AJ16">
        <f t="shared" si="1"/>
        <v>2.2163941325406311</v>
      </c>
      <c r="AK16">
        <f t="shared" si="4"/>
        <v>-0.42165521245973958</v>
      </c>
      <c r="AL16" t="e">
        <f t="shared" si="2"/>
        <v>#NUM!</v>
      </c>
      <c r="AM16" s="3">
        <f t="shared" si="3"/>
        <v>2.6337144546933446</v>
      </c>
    </row>
    <row r="17" spans="1:39">
      <c r="A17">
        <v>-0.36971696999999998</v>
      </c>
      <c r="B17">
        <v>-0.92084379999999999</v>
      </c>
      <c r="C17">
        <v>-1.3799248</v>
      </c>
      <c r="D17">
        <v>0.538327</v>
      </c>
      <c r="E17">
        <v>-0.64578663999999997</v>
      </c>
      <c r="F17">
        <v>0.33567256000000001</v>
      </c>
      <c r="G17">
        <v>1.1609478</v>
      </c>
      <c r="H17">
        <v>1.3719539999999999</v>
      </c>
      <c r="I17">
        <v>1.4908516000000001</v>
      </c>
      <c r="J17">
        <v>2.0052661999999999</v>
      </c>
      <c r="K17">
        <v>-1.0362169000000001</v>
      </c>
      <c r="L17">
        <v>0.28183150000000001</v>
      </c>
      <c r="M17">
        <v>0.82588523999999996</v>
      </c>
      <c r="N17">
        <v>-1.2373008000000001</v>
      </c>
      <c r="O17">
        <v>-0.47566825000000001</v>
      </c>
      <c r="P17">
        <v>-0.38069350000000002</v>
      </c>
      <c r="Q17">
        <v>-1.2694764000000001</v>
      </c>
      <c r="R17">
        <v>-0.92672730000000003</v>
      </c>
      <c r="S17">
        <v>0.96271974000000005</v>
      </c>
      <c r="T17">
        <v>0.49405919999999998</v>
      </c>
      <c r="U17">
        <v>0.23094010000000001</v>
      </c>
      <c r="V17">
        <v>0.4489108</v>
      </c>
      <c r="W17">
        <v>-0.69038796000000002</v>
      </c>
      <c r="X17">
        <v>7.6390730000000004E-2</v>
      </c>
      <c r="Y17">
        <v>-0.25656050000000002</v>
      </c>
      <c r="Z17">
        <v>-1.0089512</v>
      </c>
      <c r="AA17">
        <v>-0.53628653000000004</v>
      </c>
      <c r="AB17">
        <v>-1.0355692000000001</v>
      </c>
      <c r="AC17">
        <v>1.0757432</v>
      </c>
      <c r="AD17">
        <v>-0.70225859999999996</v>
      </c>
      <c r="AE17">
        <v>1.5392585999999999</v>
      </c>
      <c r="AF17">
        <v>1.4191635</v>
      </c>
      <c r="AG17">
        <v>2.7725887</v>
      </c>
      <c r="AH17">
        <v>2.8272910000000002</v>
      </c>
      <c r="AI17" s="3">
        <f t="shared" si="0"/>
        <v>2.7554626624495238</v>
      </c>
      <c r="AJ17">
        <f t="shared" si="1"/>
        <v>2.3969799083479342</v>
      </c>
      <c r="AK17" t="e">
        <f t="shared" si="4"/>
        <v>#NUM!</v>
      </c>
      <c r="AL17" t="e">
        <f t="shared" si="2"/>
        <v>#NUM!</v>
      </c>
      <c r="AM17">
        <f t="shared" si="3"/>
        <v>2.8686984843188115</v>
      </c>
    </row>
    <row r="18" spans="1:39">
      <c r="A18">
        <v>-0.36971696999999998</v>
      </c>
      <c r="B18">
        <v>1.0859605000000001</v>
      </c>
      <c r="C18">
        <v>-1.3799248</v>
      </c>
      <c r="D18">
        <v>0.538327</v>
      </c>
      <c r="E18">
        <v>-0.64578663999999997</v>
      </c>
      <c r="F18">
        <v>0.33567256000000001</v>
      </c>
      <c r="G18">
        <v>1.1609478</v>
      </c>
      <c r="H18">
        <v>1.3719539999999999</v>
      </c>
      <c r="I18">
        <v>-0.11429016</v>
      </c>
      <c r="J18">
        <v>2.0052661999999999</v>
      </c>
      <c r="K18">
        <v>1.4257721000000001</v>
      </c>
      <c r="L18">
        <v>-1.6130357</v>
      </c>
      <c r="M18">
        <v>0.82588523999999996</v>
      </c>
      <c r="N18">
        <v>-3.7954014000000001E-2</v>
      </c>
      <c r="O18">
        <v>-0.47566825000000001</v>
      </c>
      <c r="P18">
        <v>-0.38069350000000002</v>
      </c>
      <c r="Q18">
        <v>0.78772633999999997</v>
      </c>
      <c r="R18">
        <v>-0.92672730000000003</v>
      </c>
      <c r="S18">
        <v>0.96271974000000005</v>
      </c>
      <c r="T18">
        <v>0.49405919999999998</v>
      </c>
      <c r="U18">
        <v>0.23094010000000001</v>
      </c>
      <c r="V18">
        <v>-2.227614</v>
      </c>
      <c r="W18">
        <v>-0.69038796000000002</v>
      </c>
      <c r="X18">
        <v>7.6390730000000004E-2</v>
      </c>
      <c r="Y18">
        <v>0.72022410000000003</v>
      </c>
      <c r="Z18">
        <v>-0.11836857000000001</v>
      </c>
      <c r="AA18">
        <v>-0.53628653000000004</v>
      </c>
      <c r="AB18">
        <v>-1.0355692000000001</v>
      </c>
      <c r="AC18">
        <v>-1.0712136999999999</v>
      </c>
      <c r="AD18">
        <v>-0.46927829999999998</v>
      </c>
      <c r="AE18">
        <v>2.6803009999999999E-2</v>
      </c>
      <c r="AF18">
        <v>0.62402933999999999</v>
      </c>
      <c r="AG18">
        <v>2.7080503</v>
      </c>
      <c r="AH18">
        <v>2.8549910000000001</v>
      </c>
      <c r="AI18">
        <f t="shared" si="0"/>
        <v>2.3589261806688402</v>
      </c>
      <c r="AJ18">
        <f t="shared" si="1"/>
        <v>2.2825578929986827</v>
      </c>
      <c r="AK18">
        <f t="shared" si="4"/>
        <v>-0.52646908467125897</v>
      </c>
      <c r="AL18">
        <f t="shared" si="2"/>
        <v>3.1762565297529983</v>
      </c>
      <c r="AM18" s="3">
        <f t="shared" si="3"/>
        <v>2.44664416062027</v>
      </c>
    </row>
    <row r="19" spans="1:39">
      <c r="A19">
        <v>2.7047715000000001</v>
      </c>
      <c r="B19">
        <v>1.0859605000000001</v>
      </c>
      <c r="C19">
        <v>0.99856376999999996</v>
      </c>
      <c r="D19">
        <v>0.538327</v>
      </c>
      <c r="E19">
        <v>1.5484990999999999</v>
      </c>
      <c r="F19">
        <v>0.33567256000000001</v>
      </c>
      <c r="G19">
        <v>1.1609478</v>
      </c>
      <c r="H19">
        <v>1.3719539999999999</v>
      </c>
      <c r="I19">
        <v>1.4908516000000001</v>
      </c>
      <c r="J19">
        <v>0.85105103000000004</v>
      </c>
      <c r="K19">
        <v>0.60510909999999996</v>
      </c>
      <c r="L19">
        <v>0.28183150000000001</v>
      </c>
      <c r="M19">
        <v>0.82588523999999996</v>
      </c>
      <c r="N19">
        <v>1.1613928</v>
      </c>
      <c r="O19">
        <v>-0.47566825000000001</v>
      </c>
      <c r="P19">
        <v>-0.38069350000000002</v>
      </c>
      <c r="Q19">
        <v>-1.2694764000000001</v>
      </c>
      <c r="R19">
        <v>1.0790660000000001</v>
      </c>
      <c r="S19">
        <v>-1.038724</v>
      </c>
      <c r="T19">
        <v>0.49405919999999998</v>
      </c>
      <c r="U19">
        <v>0.23094010000000001</v>
      </c>
      <c r="V19">
        <v>0.4489108</v>
      </c>
      <c r="W19">
        <v>1.4484608999999999</v>
      </c>
      <c r="X19">
        <v>7.6390730000000004E-2</v>
      </c>
      <c r="Y19">
        <v>-1.2333449999999999</v>
      </c>
      <c r="Z19">
        <v>-1.0089512</v>
      </c>
      <c r="AA19">
        <v>0.62444319999999998</v>
      </c>
      <c r="AB19">
        <v>-0.23547171</v>
      </c>
      <c r="AC19">
        <v>1.0757432</v>
      </c>
      <c r="AD19">
        <v>-0.70225859999999996</v>
      </c>
      <c r="AE19">
        <v>0.63178520000000005</v>
      </c>
      <c r="AF19">
        <v>0.62402933999999999</v>
      </c>
      <c r="AG19">
        <v>2.6390574</v>
      </c>
      <c r="AH19">
        <v>2.5163115999999999</v>
      </c>
      <c r="AI19">
        <f t="shared" si="0"/>
        <v>2.245128107311102</v>
      </c>
      <c r="AJ19" s="3">
        <f t="shared" si="1"/>
        <v>2.4746940733031093</v>
      </c>
      <c r="AK19" t="e">
        <f t="shared" si="4"/>
        <v>#NUM!</v>
      </c>
      <c r="AL19" t="e">
        <f t="shared" si="2"/>
        <v>#NUM!</v>
      </c>
      <c r="AM19">
        <f t="shared" si="3"/>
        <v>2.3898660977635258</v>
      </c>
    </row>
    <row r="20" spans="1:39">
      <c r="A20">
        <v>-0.36971696999999998</v>
      </c>
      <c r="B20">
        <v>1.0859605000000001</v>
      </c>
      <c r="C20">
        <v>-1.3799248</v>
      </c>
      <c r="D20">
        <v>0.538327</v>
      </c>
      <c r="E20">
        <v>1.5484990999999999</v>
      </c>
      <c r="F20">
        <v>0.33567256000000001</v>
      </c>
      <c r="G20">
        <v>0.24379903</v>
      </c>
      <c r="H20">
        <v>0.45149228000000002</v>
      </c>
      <c r="I20">
        <v>-0.11429016</v>
      </c>
      <c r="J20">
        <v>-0.30316411999999998</v>
      </c>
      <c r="K20">
        <v>-1.0362169000000001</v>
      </c>
      <c r="L20">
        <v>0.28183150000000001</v>
      </c>
      <c r="M20">
        <v>-0.66542756999999997</v>
      </c>
      <c r="N20">
        <v>-3.7954014000000001E-2</v>
      </c>
      <c r="O20">
        <v>-0.47566825000000001</v>
      </c>
      <c r="P20">
        <v>-0.38069350000000002</v>
      </c>
      <c r="Q20">
        <v>-1.2694764000000001</v>
      </c>
      <c r="R20">
        <v>-0.92672730000000003</v>
      </c>
      <c r="S20">
        <v>0.96271974000000005</v>
      </c>
      <c r="T20">
        <v>-2.0240490000000002</v>
      </c>
      <c r="U20">
        <v>0.23094010000000001</v>
      </c>
      <c r="V20">
        <v>0.4489108</v>
      </c>
      <c r="W20">
        <v>-0.69038796000000002</v>
      </c>
      <c r="X20">
        <v>1.1736394000000001</v>
      </c>
      <c r="Y20">
        <v>-0.25656050000000002</v>
      </c>
      <c r="Z20">
        <v>-1.0089512</v>
      </c>
      <c r="AA20">
        <v>-0.53628653000000004</v>
      </c>
      <c r="AB20">
        <v>-1.0355692000000001</v>
      </c>
      <c r="AC20">
        <v>-1.0712136999999999</v>
      </c>
      <c r="AD20">
        <v>-0.70225859999999996</v>
      </c>
      <c r="AE20">
        <v>-0.88067030000000002</v>
      </c>
      <c r="AF20">
        <v>-0.17110481999999999</v>
      </c>
      <c r="AG20">
        <v>2.5649492999999999</v>
      </c>
      <c r="AH20">
        <v>2.390666</v>
      </c>
      <c r="AI20">
        <f t="shared" si="0"/>
        <v>2.0548847891910715</v>
      </c>
      <c r="AJ20">
        <f t="shared" si="1"/>
        <v>2.0552492674300429</v>
      </c>
      <c r="AK20">
        <f t="shared" si="4"/>
        <v>4.7762067899181915E-2</v>
      </c>
      <c r="AL20" t="e">
        <f t="shared" si="2"/>
        <v>#NUM!</v>
      </c>
      <c r="AM20" s="3">
        <f t="shared" si="3"/>
        <v>2.1123908111515606</v>
      </c>
    </row>
    <row r="21" spans="1:39">
      <c r="A21">
        <v>-0.36971696999999998</v>
      </c>
      <c r="B21">
        <v>1.0859605000000001</v>
      </c>
      <c r="C21">
        <v>-0.58709526000000001</v>
      </c>
      <c r="D21">
        <v>0.538327</v>
      </c>
      <c r="E21">
        <v>1.5484990999999999</v>
      </c>
      <c r="F21">
        <v>0.33567256000000001</v>
      </c>
      <c r="G21">
        <v>-0.67334970000000005</v>
      </c>
      <c r="H21">
        <v>-1.3894310999999999</v>
      </c>
      <c r="I21">
        <v>-0.11429016</v>
      </c>
      <c r="J21">
        <v>-0.30316411999999998</v>
      </c>
      <c r="K21">
        <v>-1.0362169000000001</v>
      </c>
      <c r="L21">
        <v>0.28183150000000001</v>
      </c>
      <c r="M21">
        <v>-0.66542756999999997</v>
      </c>
      <c r="N21">
        <v>-3.7954014000000001E-2</v>
      </c>
      <c r="O21">
        <v>-0.47566825000000001</v>
      </c>
      <c r="P21">
        <v>-0.38069350000000002</v>
      </c>
      <c r="Q21">
        <v>-1.2694764000000001</v>
      </c>
      <c r="R21">
        <v>1.0790660000000001</v>
      </c>
      <c r="S21">
        <v>0.96271974000000005</v>
      </c>
      <c r="T21">
        <v>0.49405919999999998</v>
      </c>
      <c r="U21">
        <v>0.23094010000000001</v>
      </c>
      <c r="V21">
        <v>0.4489108</v>
      </c>
      <c r="W21">
        <v>1.4484608999999999</v>
      </c>
      <c r="X21">
        <v>7.6390730000000004E-2</v>
      </c>
      <c r="Y21">
        <v>-1.2333449999999999</v>
      </c>
      <c r="Z21">
        <v>-0.11836857000000001</v>
      </c>
      <c r="AA21">
        <v>-0.53628653000000004</v>
      </c>
      <c r="AB21">
        <v>-0.23547171</v>
      </c>
      <c r="AC21">
        <v>1.0757432</v>
      </c>
      <c r="AD21">
        <v>-0.70225859999999996</v>
      </c>
      <c r="AE21">
        <v>1.2367674</v>
      </c>
      <c r="AF21">
        <v>1.1541188</v>
      </c>
      <c r="AG21">
        <v>2.7725887</v>
      </c>
      <c r="AH21">
        <v>2.6178379999999999</v>
      </c>
      <c r="AI21">
        <f t="shared" si="0"/>
        <v>2.4968331373000603</v>
      </c>
      <c r="AJ21">
        <f t="shared" si="1"/>
        <v>2.5388283419423154</v>
      </c>
      <c r="AK21" t="e">
        <f t="shared" si="4"/>
        <v>#NUM!</v>
      </c>
      <c r="AL21" t="e">
        <f t="shared" si="2"/>
        <v>#NUM!</v>
      </c>
      <c r="AM21" s="3">
        <f t="shared" si="3"/>
        <v>2.7312071359847541</v>
      </c>
    </row>
    <row r="22" spans="1:39">
      <c r="A22">
        <v>2.7047715000000001</v>
      </c>
      <c r="B22">
        <v>1.0859605000000001</v>
      </c>
      <c r="C22">
        <v>2.5842228</v>
      </c>
      <c r="D22">
        <v>0.538327</v>
      </c>
      <c r="E22">
        <v>1.5484990999999999</v>
      </c>
      <c r="F22">
        <v>-2.9790937999999998</v>
      </c>
      <c r="G22">
        <v>-0.67334970000000005</v>
      </c>
      <c r="H22">
        <v>-0.46896939999999998</v>
      </c>
      <c r="I22">
        <v>0.68828076000000005</v>
      </c>
      <c r="J22">
        <v>0.85105103000000004</v>
      </c>
      <c r="K22">
        <v>-1.0362169000000001</v>
      </c>
      <c r="L22">
        <v>2.1766987000000002</v>
      </c>
      <c r="M22">
        <v>-0.66542756999999997</v>
      </c>
      <c r="N22">
        <v>-3.7954014000000001E-2</v>
      </c>
      <c r="O22">
        <v>2.1847064</v>
      </c>
      <c r="P22">
        <v>-0.38069350000000002</v>
      </c>
      <c r="Q22">
        <v>0.78772633999999997</v>
      </c>
      <c r="R22">
        <v>1.0790660000000001</v>
      </c>
      <c r="S22">
        <v>-1.038724</v>
      </c>
      <c r="T22">
        <v>0.49405919999999998</v>
      </c>
      <c r="U22">
        <v>0.23094010000000001</v>
      </c>
      <c r="V22">
        <v>-2.227614</v>
      </c>
      <c r="W22">
        <v>-0.69038796000000002</v>
      </c>
      <c r="X22">
        <v>1.1736394000000001</v>
      </c>
      <c r="Y22">
        <v>1.6970086</v>
      </c>
      <c r="Z22">
        <v>0.77221406000000004</v>
      </c>
      <c r="AA22">
        <v>2.9459026000000001</v>
      </c>
      <c r="AB22">
        <v>2.1648206999999999</v>
      </c>
      <c r="AC22">
        <v>0.36009088</v>
      </c>
      <c r="AD22">
        <v>0.57913289999999995</v>
      </c>
      <c r="AE22">
        <v>-0.57817923999999998</v>
      </c>
      <c r="AF22">
        <v>-0.43614954</v>
      </c>
      <c r="AG22">
        <v>2.3025850999999999</v>
      </c>
      <c r="AH22">
        <v>2.4859589999999998</v>
      </c>
      <c r="AI22">
        <f t="shared" si="0"/>
        <v>2.3769220048138826</v>
      </c>
      <c r="AJ22" s="3">
        <f t="shared" si="1"/>
        <v>2.3039552749055923</v>
      </c>
      <c r="AK22">
        <f t="shared" si="4"/>
        <v>-5.5520990453311533E-2</v>
      </c>
      <c r="AL22">
        <f t="shared" si="2"/>
        <v>1.8578577950688524</v>
      </c>
      <c r="AM22">
        <f t="shared" si="3"/>
        <v>2.0754670400557091</v>
      </c>
    </row>
    <row r="23" spans="1:39">
      <c r="A23">
        <v>-0.36971696999999998</v>
      </c>
      <c r="B23">
        <v>1.0859605000000001</v>
      </c>
      <c r="C23">
        <v>-0.58709526000000001</v>
      </c>
      <c r="D23">
        <v>0.538327</v>
      </c>
      <c r="E23">
        <v>-0.64578663999999997</v>
      </c>
      <c r="F23">
        <v>0.33567256000000001</v>
      </c>
      <c r="G23">
        <v>0.24379903</v>
      </c>
      <c r="H23">
        <v>-0.46896939999999998</v>
      </c>
      <c r="I23">
        <v>-0.11429016</v>
      </c>
      <c r="J23">
        <v>-0.30316411999999998</v>
      </c>
      <c r="K23">
        <v>-0.21555388</v>
      </c>
      <c r="L23">
        <v>0.28183150000000001</v>
      </c>
      <c r="M23">
        <v>-0.66542756999999997</v>
      </c>
      <c r="N23">
        <v>-1.2373008000000001</v>
      </c>
      <c r="O23">
        <v>-0.47566825000000001</v>
      </c>
      <c r="P23">
        <v>-0.38069350000000002</v>
      </c>
      <c r="Q23">
        <v>0.78772633999999997</v>
      </c>
      <c r="R23">
        <v>1.0790660000000001</v>
      </c>
      <c r="S23">
        <v>-1.038724</v>
      </c>
      <c r="T23">
        <v>-2.0240490000000002</v>
      </c>
      <c r="U23">
        <v>0.23094010000000001</v>
      </c>
      <c r="V23">
        <v>0.4489108</v>
      </c>
      <c r="W23">
        <v>-0.69038796000000002</v>
      </c>
      <c r="X23">
        <v>1.1736394000000001</v>
      </c>
      <c r="Y23">
        <v>0.72022410000000003</v>
      </c>
      <c r="Z23">
        <v>-0.11836857000000001</v>
      </c>
      <c r="AA23">
        <v>-0.53628653000000004</v>
      </c>
      <c r="AB23">
        <v>-1.0355692000000001</v>
      </c>
      <c r="AC23">
        <v>1.0757432</v>
      </c>
      <c r="AD23">
        <v>-0.70225859999999996</v>
      </c>
      <c r="AE23">
        <v>0.32929412000000002</v>
      </c>
      <c r="AF23">
        <v>0.88907400000000003</v>
      </c>
      <c r="AG23">
        <v>2.7725887</v>
      </c>
      <c r="AH23">
        <v>2.5497599000000002</v>
      </c>
      <c r="AI23" s="3">
        <f t="shared" si="0"/>
        <v>2.8488927992424502</v>
      </c>
      <c r="AJ23">
        <f t="shared" si="1"/>
        <v>2.4177961426343502</v>
      </c>
      <c r="AK23" t="e">
        <f t="shared" si="4"/>
        <v>#NUM!</v>
      </c>
      <c r="AL23" t="e">
        <f t="shared" si="2"/>
        <v>#NUM!</v>
      </c>
      <c r="AM23">
        <f t="shared" si="3"/>
        <v>2.5738953391191144</v>
      </c>
    </row>
    <row r="24" spans="1:39">
      <c r="A24">
        <v>-0.36971696999999998</v>
      </c>
      <c r="B24">
        <v>-0.92084379999999999</v>
      </c>
      <c r="C24">
        <v>-0.58709526000000001</v>
      </c>
      <c r="D24">
        <v>0.538327</v>
      </c>
      <c r="E24">
        <v>-0.64578663999999997</v>
      </c>
      <c r="F24">
        <v>0.33567256000000001</v>
      </c>
      <c r="G24">
        <v>-0.67334970000000005</v>
      </c>
      <c r="H24">
        <v>-1.3894310999999999</v>
      </c>
      <c r="I24">
        <v>-0.11429016</v>
      </c>
      <c r="J24">
        <v>-0.30316411999999998</v>
      </c>
      <c r="K24">
        <v>-1.0362169000000001</v>
      </c>
      <c r="L24">
        <v>0.28183150000000001</v>
      </c>
      <c r="M24">
        <v>-0.66542756999999997</v>
      </c>
      <c r="N24">
        <v>-3.7954014000000001E-2</v>
      </c>
      <c r="O24">
        <v>-0.47566825000000001</v>
      </c>
      <c r="P24">
        <v>-0.38069350000000002</v>
      </c>
      <c r="Q24">
        <v>0.78772633999999997</v>
      </c>
      <c r="R24">
        <v>1.0790660000000001</v>
      </c>
      <c r="S24">
        <v>-1.038724</v>
      </c>
      <c r="T24">
        <v>0.49405919999999998</v>
      </c>
      <c r="U24">
        <v>0.23094010000000001</v>
      </c>
      <c r="V24">
        <v>-2.227614</v>
      </c>
      <c r="W24">
        <v>1.4484608999999999</v>
      </c>
      <c r="X24">
        <v>7.6390730000000004E-2</v>
      </c>
      <c r="Y24">
        <v>-0.25656050000000002</v>
      </c>
      <c r="Z24">
        <v>1.6627966000000001</v>
      </c>
      <c r="AA24">
        <v>-0.53628653000000004</v>
      </c>
      <c r="AB24">
        <v>-1.0355692000000001</v>
      </c>
      <c r="AC24">
        <v>1.0757432</v>
      </c>
      <c r="AD24">
        <v>-0.46927829999999998</v>
      </c>
      <c r="AE24">
        <v>-0.88067030000000002</v>
      </c>
      <c r="AF24">
        <v>-0.43614954</v>
      </c>
      <c r="AG24">
        <v>2.3978953000000001</v>
      </c>
      <c r="AH24">
        <v>2.432785</v>
      </c>
      <c r="AI24">
        <f t="shared" si="0"/>
        <v>2.1708190149850011</v>
      </c>
      <c r="AJ24" s="3">
        <f t="shared" si="1"/>
        <v>2.2137320342653881</v>
      </c>
      <c r="AK24" t="e">
        <f t="shared" si="4"/>
        <v>#NUM!</v>
      </c>
      <c r="AL24">
        <f t="shared" si="2"/>
        <v>1.7701413737922147</v>
      </c>
      <c r="AM24">
        <f t="shared" si="3"/>
        <v>2.0771228542740823</v>
      </c>
    </row>
    <row r="25" spans="1:39">
      <c r="A25">
        <v>-0.36971696999999998</v>
      </c>
      <c r="B25">
        <v>-0.92084379999999999</v>
      </c>
      <c r="C25">
        <v>0.20573424000000001</v>
      </c>
      <c r="D25">
        <v>-1.8576071000000001</v>
      </c>
      <c r="E25">
        <v>-0.64578663999999997</v>
      </c>
      <c r="F25">
        <v>-2.9790937999999998</v>
      </c>
      <c r="G25">
        <v>0.24379903</v>
      </c>
      <c r="H25">
        <v>-0.46896939999999998</v>
      </c>
      <c r="I25">
        <v>-0.11429016</v>
      </c>
      <c r="J25">
        <v>-0.30316411999999998</v>
      </c>
      <c r="K25">
        <v>-0.21555388</v>
      </c>
      <c r="L25">
        <v>0.28183150000000001</v>
      </c>
      <c r="M25">
        <v>-0.66542756999999997</v>
      </c>
      <c r="N25">
        <v>-3.7954014000000001E-2</v>
      </c>
      <c r="O25">
        <v>-0.47566825000000001</v>
      </c>
      <c r="P25">
        <v>-0.38069350000000002</v>
      </c>
      <c r="Q25">
        <v>0.78772633999999997</v>
      </c>
      <c r="R25">
        <v>1.0790660000000001</v>
      </c>
      <c r="S25">
        <v>-1.038724</v>
      </c>
      <c r="T25">
        <v>0.49405919999999998</v>
      </c>
      <c r="U25">
        <v>0.23094010000000001</v>
      </c>
      <c r="V25">
        <v>0.4489108</v>
      </c>
      <c r="W25">
        <v>-0.69038796000000002</v>
      </c>
      <c r="X25">
        <v>7.6390730000000004E-2</v>
      </c>
      <c r="Y25">
        <v>-0.25656050000000002</v>
      </c>
      <c r="Z25">
        <v>-0.11836857000000001</v>
      </c>
      <c r="AA25">
        <v>0.62444319999999998</v>
      </c>
      <c r="AB25">
        <v>0.56462573999999999</v>
      </c>
      <c r="AC25">
        <v>-1.0712136999999999</v>
      </c>
      <c r="AD25">
        <v>-0.23629803999999999</v>
      </c>
      <c r="AE25">
        <v>-0.57817923999999998</v>
      </c>
      <c r="AF25">
        <v>-0.17110481999999999</v>
      </c>
      <c r="AG25">
        <v>2.3978953000000001</v>
      </c>
      <c r="AH25">
        <v>2.3776069</v>
      </c>
      <c r="AI25">
        <f t="shared" si="0"/>
        <v>2.1450733105058912</v>
      </c>
      <c r="AJ25">
        <f t="shared" si="1"/>
        <v>1.9497828792178029</v>
      </c>
      <c r="AK25">
        <f t="shared" si="4"/>
        <v>0.46606638660602057</v>
      </c>
      <c r="AL25">
        <f t="shared" si="2"/>
        <v>2.8927499728254245</v>
      </c>
      <c r="AM25" s="3">
        <f t="shared" si="3"/>
        <v>2.2612020510977526</v>
      </c>
    </row>
    <row r="26" spans="1:39">
      <c r="A26">
        <v>-0.36971696999999998</v>
      </c>
      <c r="B26">
        <v>1.0859605000000001</v>
      </c>
      <c r="C26">
        <v>-0.58709526000000001</v>
      </c>
      <c r="D26">
        <v>0.538327</v>
      </c>
      <c r="E26">
        <v>1.5484990999999999</v>
      </c>
      <c r="F26">
        <v>-2.9790937999999998</v>
      </c>
      <c r="G26">
        <v>0.24379903</v>
      </c>
      <c r="H26">
        <v>1.3719539999999999</v>
      </c>
      <c r="I26">
        <v>0.68828076000000005</v>
      </c>
      <c r="J26">
        <v>-0.30316411999999998</v>
      </c>
      <c r="K26">
        <v>-0.21555388</v>
      </c>
      <c r="L26">
        <v>0.28183150000000001</v>
      </c>
      <c r="M26">
        <v>-0.66542756999999997</v>
      </c>
      <c r="N26">
        <v>-3.7954014000000001E-2</v>
      </c>
      <c r="O26">
        <v>-0.47566825000000001</v>
      </c>
      <c r="P26">
        <v>2.6267849999999999</v>
      </c>
      <c r="Q26">
        <v>0.78772633999999997</v>
      </c>
      <c r="R26">
        <v>-0.92672730000000003</v>
      </c>
      <c r="S26">
        <v>0.96271974000000005</v>
      </c>
      <c r="T26">
        <v>0.49405919999999998</v>
      </c>
      <c r="U26">
        <v>0.23094010000000001</v>
      </c>
      <c r="V26">
        <v>0.4489108</v>
      </c>
      <c r="W26">
        <v>-0.69038796000000002</v>
      </c>
      <c r="X26">
        <v>1.1736394000000001</v>
      </c>
      <c r="Y26">
        <v>-0.25656050000000002</v>
      </c>
      <c r="Z26">
        <v>-0.11836857000000001</v>
      </c>
      <c r="AA26">
        <v>-0.53628653000000004</v>
      </c>
      <c r="AB26">
        <v>-1.0355692000000001</v>
      </c>
      <c r="AC26">
        <v>1.0757432</v>
      </c>
      <c r="AD26">
        <v>-0.23629803999999999</v>
      </c>
      <c r="AE26">
        <v>2.6803009999999999E-2</v>
      </c>
      <c r="AF26">
        <v>9.3939900000000007E-2</v>
      </c>
      <c r="AG26">
        <v>2.4849066999999998</v>
      </c>
      <c r="AH26">
        <v>2.0869792</v>
      </c>
      <c r="AI26">
        <f t="shared" si="0"/>
        <v>2.5206207124117896</v>
      </c>
      <c r="AJ26">
        <f t="shared" si="1"/>
        <v>2.3312204436335526</v>
      </c>
      <c r="AK26" t="e">
        <f t="shared" si="4"/>
        <v>#NUM!</v>
      </c>
      <c r="AL26">
        <f t="shared" si="2"/>
        <v>3.3107554786508895</v>
      </c>
      <c r="AM26" s="3">
        <f t="shared" si="3"/>
        <v>2.4544271771339794</v>
      </c>
    </row>
    <row r="27" spans="1:39">
      <c r="A27">
        <v>-0.36971696999999998</v>
      </c>
      <c r="B27">
        <v>-0.92084379999999999</v>
      </c>
      <c r="C27">
        <v>-0.58709526000000001</v>
      </c>
      <c r="D27">
        <v>0.538327</v>
      </c>
      <c r="E27">
        <v>-0.64578663999999997</v>
      </c>
      <c r="F27">
        <v>0.33567256000000001</v>
      </c>
      <c r="G27">
        <v>1.1609478</v>
      </c>
      <c r="H27">
        <v>1.3719539999999999</v>
      </c>
      <c r="I27">
        <v>1.4908516000000001</v>
      </c>
      <c r="J27">
        <v>0.85105103000000004</v>
      </c>
      <c r="K27">
        <v>-0.21555388</v>
      </c>
      <c r="L27">
        <v>0.28183150000000001</v>
      </c>
      <c r="M27">
        <v>-0.66542756999999997</v>
      </c>
      <c r="N27">
        <v>1.1613928</v>
      </c>
      <c r="O27">
        <v>-0.47566825000000001</v>
      </c>
      <c r="P27">
        <v>-0.38069350000000002</v>
      </c>
      <c r="Q27">
        <v>0.78772633999999997</v>
      </c>
      <c r="R27">
        <v>-0.92672730000000003</v>
      </c>
      <c r="S27">
        <v>0.96271974000000005</v>
      </c>
      <c r="T27">
        <v>-2.0240490000000002</v>
      </c>
      <c r="U27">
        <v>0.23094010000000001</v>
      </c>
      <c r="V27">
        <v>0.4489108</v>
      </c>
      <c r="W27">
        <v>-0.69038796000000002</v>
      </c>
      <c r="X27">
        <v>1.1736394000000001</v>
      </c>
      <c r="Y27">
        <v>-0.25656050000000002</v>
      </c>
      <c r="Z27">
        <v>-1.0089512</v>
      </c>
      <c r="AA27">
        <v>-0.53628653000000004</v>
      </c>
      <c r="AB27">
        <v>-1.0355692000000001</v>
      </c>
      <c r="AC27">
        <v>1.0757432</v>
      </c>
      <c r="AD27">
        <v>-0.70225859999999996</v>
      </c>
      <c r="AE27">
        <v>0.63178520000000005</v>
      </c>
      <c r="AF27">
        <v>0.62402933999999999</v>
      </c>
      <c r="AG27">
        <v>2.7080503</v>
      </c>
      <c r="AH27">
        <v>2.8189978999999998</v>
      </c>
      <c r="AI27" s="3">
        <f t="shared" si="0"/>
        <v>2.6016583279697203</v>
      </c>
      <c r="AJ27">
        <f t="shared" si="1"/>
        <v>2.2087991688113551</v>
      </c>
      <c r="AK27" t="e">
        <f t="shared" si="4"/>
        <v>#NUM!</v>
      </c>
      <c r="AL27" t="e">
        <f t="shared" si="2"/>
        <v>#NUM!</v>
      </c>
      <c r="AM27">
        <f t="shared" si="3"/>
        <v>2.5156760016740551</v>
      </c>
    </row>
    <row r="28" spans="1:39">
      <c r="A28">
        <v>-0.36971696999999998</v>
      </c>
      <c r="B28">
        <v>-0.92084379999999999</v>
      </c>
      <c r="C28">
        <v>-1.3799248</v>
      </c>
      <c r="D28">
        <v>0.538327</v>
      </c>
      <c r="E28">
        <v>-0.64578663999999997</v>
      </c>
      <c r="F28">
        <v>0.33567256000000001</v>
      </c>
      <c r="G28">
        <v>-1.5904984</v>
      </c>
      <c r="H28">
        <v>-0.46896939999999998</v>
      </c>
      <c r="I28">
        <v>-1.7194320000000001</v>
      </c>
      <c r="J28">
        <v>-0.30316411999999998</v>
      </c>
      <c r="K28">
        <v>-1.0362169000000001</v>
      </c>
      <c r="L28">
        <v>0.28183150000000001</v>
      </c>
      <c r="M28">
        <v>-0.66542756999999997</v>
      </c>
      <c r="N28">
        <v>-3.7954014000000001E-2</v>
      </c>
      <c r="O28">
        <v>-0.47566825000000001</v>
      </c>
      <c r="P28">
        <v>-0.38069350000000002</v>
      </c>
      <c r="Q28">
        <v>0.78772633999999997</v>
      </c>
      <c r="R28">
        <v>1.0790660000000001</v>
      </c>
      <c r="S28">
        <v>-1.038724</v>
      </c>
      <c r="T28">
        <v>-2.0240490000000002</v>
      </c>
      <c r="U28">
        <v>0.23094010000000001</v>
      </c>
      <c r="V28">
        <v>0.4489108</v>
      </c>
      <c r="W28">
        <v>-0.69038796000000002</v>
      </c>
      <c r="X28">
        <v>7.6390730000000004E-2</v>
      </c>
      <c r="Y28">
        <v>-0.25656050000000002</v>
      </c>
      <c r="Z28">
        <v>-1.0089512</v>
      </c>
      <c r="AA28">
        <v>-0.53628653000000004</v>
      </c>
      <c r="AB28">
        <v>-1.0355692000000001</v>
      </c>
      <c r="AC28">
        <v>1.0757432</v>
      </c>
      <c r="AD28">
        <v>-0.46927829999999998</v>
      </c>
      <c r="AE28">
        <v>-0.27568809999999999</v>
      </c>
      <c r="AF28">
        <v>9.3939900000000007E-2</v>
      </c>
      <c r="AG28">
        <v>2.4849066999999998</v>
      </c>
      <c r="AH28">
        <v>2.3510727999999999</v>
      </c>
      <c r="AI28" s="3">
        <f t="shared" si="0"/>
        <v>2.4549908659216952</v>
      </c>
      <c r="AJ28">
        <f t="shared" si="1"/>
        <v>2.2054156171832653</v>
      </c>
      <c r="AK28" t="e">
        <f t="shared" si="4"/>
        <v>#NUM!</v>
      </c>
      <c r="AL28">
        <f t="shared" si="2"/>
        <v>1.6328982709444329</v>
      </c>
      <c r="AM28">
        <f t="shared" si="3"/>
        <v>2.4126074245162301</v>
      </c>
    </row>
    <row r="29" spans="1:39">
      <c r="A29">
        <v>-0.36971696999999998</v>
      </c>
      <c r="B29">
        <v>-0.92084379999999999</v>
      </c>
      <c r="C29">
        <v>-1.3799248</v>
      </c>
      <c r="D29">
        <v>0.538327</v>
      </c>
      <c r="E29">
        <v>-0.64578663999999997</v>
      </c>
      <c r="F29">
        <v>-2.9790937999999998</v>
      </c>
      <c r="G29">
        <v>1.1609478</v>
      </c>
      <c r="H29">
        <v>0.45149228000000002</v>
      </c>
      <c r="I29">
        <v>0.68828076000000005</v>
      </c>
      <c r="J29">
        <v>0.85105103000000004</v>
      </c>
      <c r="K29">
        <v>1.4257721000000001</v>
      </c>
      <c r="L29">
        <v>0.28183150000000001</v>
      </c>
      <c r="M29">
        <v>-0.66542756999999997</v>
      </c>
      <c r="N29">
        <v>-3.7954014000000001E-2</v>
      </c>
      <c r="O29">
        <v>-0.47566825000000001</v>
      </c>
      <c r="P29">
        <v>-0.38069350000000002</v>
      </c>
      <c r="Q29">
        <v>0.78772633999999997</v>
      </c>
      <c r="R29">
        <v>1.0790660000000001</v>
      </c>
      <c r="S29">
        <v>0.96271974000000005</v>
      </c>
      <c r="T29">
        <v>0.49405919999999998</v>
      </c>
      <c r="U29">
        <v>0.23094010000000001</v>
      </c>
      <c r="V29">
        <v>0.4489108</v>
      </c>
      <c r="W29">
        <v>-0.69038796000000002</v>
      </c>
      <c r="X29">
        <v>7.6390730000000004E-2</v>
      </c>
      <c r="Y29">
        <v>-0.25656050000000002</v>
      </c>
      <c r="Z29">
        <v>-1.0089512</v>
      </c>
      <c r="AA29">
        <v>-0.53628653000000004</v>
      </c>
      <c r="AB29">
        <v>-1.0355692000000001</v>
      </c>
      <c r="AC29">
        <v>-1.7868660999999999</v>
      </c>
      <c r="AD29">
        <v>-0.70225859999999996</v>
      </c>
      <c r="AE29">
        <v>0.93427634000000004</v>
      </c>
      <c r="AF29">
        <v>1.1541188</v>
      </c>
      <c r="AG29">
        <v>2.7725887</v>
      </c>
      <c r="AH29">
        <v>2.8665769999999999</v>
      </c>
      <c r="AI29">
        <f t="shared" si="0"/>
        <v>2.5152647590522661</v>
      </c>
      <c r="AJ29">
        <f t="shared" si="1"/>
        <v>2.3906163988034455</v>
      </c>
      <c r="AK29">
        <f t="shared" si="4"/>
        <v>-0.30756067162845302</v>
      </c>
      <c r="AL29" t="e">
        <f t="shared" si="2"/>
        <v>#NUM!</v>
      </c>
      <c r="AM29" s="3">
        <f t="shared" si="3"/>
        <v>2.7530378740811754</v>
      </c>
    </row>
    <row r="30" spans="1:39">
      <c r="A30">
        <v>-0.36971696999999998</v>
      </c>
      <c r="B30">
        <v>-0.92084379999999999</v>
      </c>
      <c r="C30">
        <v>-0.58709526000000001</v>
      </c>
      <c r="D30">
        <v>0.538327</v>
      </c>
      <c r="E30">
        <v>-0.64578663999999997</v>
      </c>
      <c r="F30">
        <v>0.33567256000000001</v>
      </c>
      <c r="G30">
        <v>-0.67334970000000005</v>
      </c>
      <c r="H30">
        <v>-0.46896939999999998</v>
      </c>
      <c r="I30">
        <v>-0.11429016</v>
      </c>
      <c r="J30">
        <v>-0.30316411999999998</v>
      </c>
      <c r="K30">
        <v>-0.21555388</v>
      </c>
      <c r="L30">
        <v>0.28183150000000001</v>
      </c>
      <c r="M30">
        <v>-0.66542756999999997</v>
      </c>
      <c r="N30">
        <v>-3.7954014000000001E-2</v>
      </c>
      <c r="O30">
        <v>-0.47566825000000001</v>
      </c>
      <c r="P30">
        <v>-0.38069350000000002</v>
      </c>
      <c r="Q30">
        <v>0.78772633999999997</v>
      </c>
      <c r="R30">
        <v>1.0790660000000001</v>
      </c>
      <c r="S30">
        <v>-1.038724</v>
      </c>
      <c r="T30">
        <v>-2.0240490000000002</v>
      </c>
      <c r="U30">
        <v>0.23094010000000001</v>
      </c>
      <c r="V30">
        <v>0.4489108</v>
      </c>
      <c r="W30">
        <v>-0.69038796000000002</v>
      </c>
      <c r="X30">
        <v>1.1736394000000001</v>
      </c>
      <c r="Y30">
        <v>-2.2101297</v>
      </c>
      <c r="Z30">
        <v>1.6627966000000001</v>
      </c>
      <c r="AA30">
        <v>-0.53628653000000004</v>
      </c>
      <c r="AB30">
        <v>-1.0355692000000001</v>
      </c>
      <c r="AC30">
        <v>0.36009088</v>
      </c>
      <c r="AD30">
        <v>-0.70225859999999996</v>
      </c>
      <c r="AE30">
        <v>-1.4856526000000001</v>
      </c>
      <c r="AF30">
        <v>-0.96623899999999996</v>
      </c>
      <c r="AG30">
        <v>0</v>
      </c>
      <c r="AH30">
        <v>2.0681132999999998</v>
      </c>
      <c r="AI30">
        <f t="shared" si="0"/>
        <v>1.994122273118109</v>
      </c>
      <c r="AJ30">
        <f t="shared" si="1"/>
        <v>1.9560835570141064</v>
      </c>
      <c r="AK30" s="3">
        <f t="shared" si="4"/>
        <v>0.53927226619933366</v>
      </c>
      <c r="AL30" t="e">
        <f t="shared" si="2"/>
        <v>#NUM!</v>
      </c>
      <c r="AM30">
        <f t="shared" si="3"/>
        <v>1.83467183330206</v>
      </c>
    </row>
    <row r="31" spans="1:39">
      <c r="A31">
        <v>-0.36971696999999998</v>
      </c>
      <c r="B31">
        <v>1.0859605000000001</v>
      </c>
      <c r="C31">
        <v>-1.3799248</v>
      </c>
      <c r="D31">
        <v>0.538327</v>
      </c>
      <c r="E31">
        <v>1.5484990999999999</v>
      </c>
      <c r="F31">
        <v>-2.9790937999999998</v>
      </c>
      <c r="G31">
        <v>0.24379903</v>
      </c>
      <c r="H31">
        <v>-0.46896939999999998</v>
      </c>
      <c r="I31">
        <v>0.68828076000000005</v>
      </c>
      <c r="J31">
        <v>-0.30316411999999998</v>
      </c>
      <c r="K31">
        <v>-0.21555388</v>
      </c>
      <c r="L31">
        <v>0.28183150000000001</v>
      </c>
      <c r="M31">
        <v>-0.66542756999999997</v>
      </c>
      <c r="N31">
        <v>-3.7954014000000001E-2</v>
      </c>
      <c r="O31">
        <v>-0.47566825000000001</v>
      </c>
      <c r="P31">
        <v>-0.38069350000000002</v>
      </c>
      <c r="Q31">
        <v>0.78772633999999997</v>
      </c>
      <c r="R31">
        <v>1.0790660000000001</v>
      </c>
      <c r="S31">
        <v>-1.038724</v>
      </c>
      <c r="T31">
        <v>0.49405919999999998</v>
      </c>
      <c r="U31">
        <v>0.23094010000000001</v>
      </c>
      <c r="V31">
        <v>0.4489108</v>
      </c>
      <c r="W31">
        <v>-0.69038796000000002</v>
      </c>
      <c r="X31">
        <v>7.6390730000000004E-2</v>
      </c>
      <c r="Y31">
        <v>-1.2333449999999999</v>
      </c>
      <c r="Z31">
        <v>-1.0089512</v>
      </c>
      <c r="AA31">
        <v>-0.53628653000000004</v>
      </c>
      <c r="AB31">
        <v>-1.0355692000000001</v>
      </c>
      <c r="AC31">
        <v>-1.7868660999999999</v>
      </c>
      <c r="AD31">
        <v>-0.70225859999999996</v>
      </c>
      <c r="AE31">
        <v>1.5392585999999999</v>
      </c>
      <c r="AF31">
        <v>1.9492529999999999</v>
      </c>
      <c r="AG31">
        <v>2.9957322999999998</v>
      </c>
      <c r="AH31">
        <v>2.9876716000000001</v>
      </c>
      <c r="AI31">
        <f t="shared" si="0"/>
        <v>2.7386674333337941</v>
      </c>
      <c r="AJ31">
        <f t="shared" si="1"/>
        <v>2.5187673855878878</v>
      </c>
      <c r="AK31">
        <f t="shared" si="4"/>
        <v>0.67249580531685171</v>
      </c>
      <c r="AL31" t="e">
        <f t="shared" si="2"/>
        <v>#NUM!</v>
      </c>
      <c r="AM31" s="3">
        <f t="shared" si="3"/>
        <v>2.9776383113842404</v>
      </c>
    </row>
    <row r="32" spans="1:39">
      <c r="A32">
        <v>2.7047715000000001</v>
      </c>
      <c r="B32">
        <v>-0.92084379999999999</v>
      </c>
      <c r="C32">
        <v>0.20573424000000001</v>
      </c>
      <c r="D32">
        <v>-1.8576071000000001</v>
      </c>
      <c r="E32">
        <v>-0.64578663999999997</v>
      </c>
      <c r="F32">
        <v>0.33567256000000001</v>
      </c>
      <c r="G32">
        <v>-1.5904984</v>
      </c>
      <c r="H32">
        <v>-0.46896939999999998</v>
      </c>
      <c r="I32">
        <v>-0.11429016</v>
      </c>
      <c r="J32">
        <v>0.85105103000000004</v>
      </c>
      <c r="K32">
        <v>-1.0362169000000001</v>
      </c>
      <c r="L32">
        <v>-1.6130357</v>
      </c>
      <c r="M32">
        <v>0.82588523999999996</v>
      </c>
      <c r="N32">
        <v>-3.7954014000000001E-2</v>
      </c>
      <c r="O32">
        <v>-0.47566825000000001</v>
      </c>
      <c r="P32">
        <v>-0.38069350000000002</v>
      </c>
      <c r="Q32">
        <v>-1.2694764000000001</v>
      </c>
      <c r="R32">
        <v>-0.92672730000000003</v>
      </c>
      <c r="S32">
        <v>-1.038724</v>
      </c>
      <c r="T32">
        <v>-2.0240490000000002</v>
      </c>
      <c r="U32">
        <v>0.23094010000000001</v>
      </c>
      <c r="V32">
        <v>-2.227614</v>
      </c>
      <c r="W32">
        <v>-0.69038796000000002</v>
      </c>
      <c r="X32">
        <v>-1.0208579</v>
      </c>
      <c r="Y32">
        <v>-1.2333449999999999</v>
      </c>
      <c r="Z32">
        <v>-1.0089512</v>
      </c>
      <c r="AA32">
        <v>-0.53628653000000004</v>
      </c>
      <c r="AB32">
        <v>-0.23547171</v>
      </c>
      <c r="AC32">
        <v>-0.35556144000000001</v>
      </c>
      <c r="AD32">
        <v>-0.70225859999999996</v>
      </c>
      <c r="AE32">
        <v>0.32929412000000002</v>
      </c>
      <c r="AF32">
        <v>9.3939900000000007E-2</v>
      </c>
      <c r="AG32">
        <v>2.5649492999999999</v>
      </c>
      <c r="AH32">
        <v>2.4218624000000002</v>
      </c>
      <c r="AI32">
        <f t="shared" si="0"/>
        <v>2.1732797866225608</v>
      </c>
      <c r="AJ32">
        <f t="shared" si="1"/>
        <v>2.1857475294609441</v>
      </c>
      <c r="AK32">
        <f t="shared" si="4"/>
        <v>-0.15565644538855319</v>
      </c>
      <c r="AL32" t="e">
        <f t="shared" si="2"/>
        <v>#NUM!</v>
      </c>
      <c r="AM32" s="3">
        <f t="shared" si="3"/>
        <v>2.2989102800281409</v>
      </c>
    </row>
    <row r="33" spans="1:39">
      <c r="A33">
        <v>-0.36971696999999998</v>
      </c>
      <c r="B33">
        <v>-0.92084379999999999</v>
      </c>
      <c r="C33">
        <v>0.20573424000000001</v>
      </c>
      <c r="D33">
        <v>0.538327</v>
      </c>
      <c r="E33">
        <v>-0.64578663999999997</v>
      </c>
      <c r="F33">
        <v>0.33567256000000001</v>
      </c>
      <c r="G33">
        <v>1.1609478</v>
      </c>
      <c r="H33">
        <v>0.45149228000000002</v>
      </c>
      <c r="I33">
        <v>-0.91686106000000001</v>
      </c>
      <c r="J33">
        <v>0.85105103000000004</v>
      </c>
      <c r="K33">
        <v>1.4257721000000001</v>
      </c>
      <c r="L33">
        <v>0.28183150000000001</v>
      </c>
      <c r="M33">
        <v>-0.66542756999999997</v>
      </c>
      <c r="N33">
        <v>1.1613928</v>
      </c>
      <c r="O33">
        <v>-0.47566825000000001</v>
      </c>
      <c r="P33">
        <v>-0.38069350000000002</v>
      </c>
      <c r="Q33">
        <v>0.78772633999999997</v>
      </c>
      <c r="R33">
        <v>1.0790660000000001</v>
      </c>
      <c r="S33">
        <v>-1.038724</v>
      </c>
      <c r="T33">
        <v>0.49405919999999998</v>
      </c>
      <c r="U33">
        <v>0.23094010000000001</v>
      </c>
      <c r="V33">
        <v>0.4489108</v>
      </c>
      <c r="W33">
        <v>-0.69038796000000002</v>
      </c>
      <c r="X33">
        <v>7.6390730000000004E-2</v>
      </c>
      <c r="Y33">
        <v>-1.2333449999999999</v>
      </c>
      <c r="Z33">
        <v>-1.0089512</v>
      </c>
      <c r="AA33">
        <v>-0.53628653000000004</v>
      </c>
      <c r="AB33">
        <v>-0.23547171</v>
      </c>
      <c r="AC33">
        <v>-0.35556144000000001</v>
      </c>
      <c r="AD33">
        <v>-0.70225859999999996</v>
      </c>
      <c r="AE33">
        <v>1.2367674</v>
      </c>
      <c r="AF33">
        <v>1.1541188</v>
      </c>
      <c r="AG33">
        <v>2.7725887</v>
      </c>
      <c r="AH33">
        <v>2.7754004000000001</v>
      </c>
      <c r="AI33">
        <f t="shared" si="0"/>
        <v>2.6709983215740256</v>
      </c>
      <c r="AJ33">
        <f t="shared" si="1"/>
        <v>2.5495474253299522</v>
      </c>
      <c r="AK33">
        <f t="shared" si="4"/>
        <v>-0.16248887156129202</v>
      </c>
      <c r="AL33" t="e">
        <f t="shared" si="2"/>
        <v>#NUM!</v>
      </c>
      <c r="AM33" s="3">
        <f t="shared" si="3"/>
        <v>2.7100053329038785</v>
      </c>
    </row>
    <row r="34" spans="1:39">
      <c r="A34">
        <v>-0.36971696999999998</v>
      </c>
      <c r="B34">
        <v>-0.92084379999999999</v>
      </c>
      <c r="C34">
        <v>0.99856376999999996</v>
      </c>
      <c r="D34">
        <v>0.538327</v>
      </c>
      <c r="E34">
        <v>-0.64578663999999997</v>
      </c>
      <c r="F34">
        <v>0.33567256000000001</v>
      </c>
      <c r="G34">
        <v>1.1609478</v>
      </c>
      <c r="H34">
        <v>0.45149228000000002</v>
      </c>
      <c r="I34">
        <v>-0.11429016</v>
      </c>
      <c r="J34">
        <v>-0.30316411999999998</v>
      </c>
      <c r="K34">
        <v>-1.0362169000000001</v>
      </c>
      <c r="L34">
        <v>0.28183150000000001</v>
      </c>
      <c r="M34">
        <v>-0.66542756999999997</v>
      </c>
      <c r="N34">
        <v>1.1613928</v>
      </c>
      <c r="O34">
        <v>-0.47566825000000001</v>
      </c>
      <c r="P34">
        <v>-0.38069350000000002</v>
      </c>
      <c r="Q34">
        <v>0.78772633999999997</v>
      </c>
      <c r="R34">
        <v>1.0790660000000001</v>
      </c>
      <c r="S34">
        <v>0.96271974000000005</v>
      </c>
      <c r="T34">
        <v>0.49405919999999998</v>
      </c>
      <c r="U34">
        <v>0.23094010000000001</v>
      </c>
      <c r="V34">
        <v>0.4489108</v>
      </c>
      <c r="W34">
        <v>1.4484608999999999</v>
      </c>
      <c r="X34">
        <v>7.6390730000000004E-2</v>
      </c>
      <c r="Y34">
        <v>-0.25656050000000002</v>
      </c>
      <c r="Z34">
        <v>0.77221406000000004</v>
      </c>
      <c r="AA34">
        <v>-0.53628653000000004</v>
      </c>
      <c r="AB34">
        <v>-1.0355692000000001</v>
      </c>
      <c r="AC34">
        <v>1.0757432</v>
      </c>
      <c r="AD34">
        <v>0.34615266</v>
      </c>
      <c r="AE34">
        <v>-0.57817923999999998</v>
      </c>
      <c r="AF34">
        <v>-0.17110481999999999</v>
      </c>
      <c r="AG34">
        <v>2.3025850999999999</v>
      </c>
      <c r="AH34">
        <v>2.3943715000000001</v>
      </c>
      <c r="AI34">
        <f t="shared" ref="AI34:AI65" si="5" xml:space="preserve"> 0.0159*A34 - 0.0105*J34 + 0.0013*K34 + 0.0217*O34 + 0.0245*P34 + 0.0216*Q34 - 0.0096*R34 - 0.0537*S34 - 0.0204*B34 - 0.0101*T34 - 0.008*U34 + 0.0067*V34 - 0.0285*W34 + 0.0114*X34 + 0.0004*Y34 + 0.0191*Z34 - 0.0037*AA34 - 0.0008*AB34 + 0.0614*AC34 - 0.0618*C34 + 0.1007*AD34 + 0.0536*AE34 + 0.0767*AF34 - 0.0061*D34 + 0.0125*E34 + 0.0078*F34 + 0.0013*I34 - 0.0046*(-L34 - 0.6204)^2 - 0.0001*(-L34 - 0.5761)^2 + 0.0138*(-L34 - 0.3339)^2 - 0.0019*(-0.8817*L34 - 1)^2 + 0.0012*(-0.565*N34 - 1)^2 + 0.0061*SQRT(O34 + 0.6503) - 0.0019*(-G34 - 0.9835)^2 - 0.0006*EXP(0.9686*J34) - 0.0002*EXP(3.6063*I34) - 0.3496*EXP(0.024*A34 - 0.017*J34 - 0.0221*Q34 + 0.011*R34 - 0.0018*S34 + 0.0415*B34 - 0.0107*T34 + 0.0472*U34 - 0.0267*V34 - 0.0199*W34 - 0.0193*Y34 + 0.0103*Z34 - 0.0021*AC34 + 0.0843*AD34 - 0.1335*AE34 - 0.0307*D34 + 0.0214*E34 - 0.0027*F34 - 0.0102*G34 - 0.0448*I34 - 0.0391*(0.2922 - M34)^2 - 0.2317*(-0.1484*L34 - 1)^2 - 0.0705*SIN(2.9295*K34 + 8.9969) - 0.2731*SIN(3.6118*N34 + 1.3717) - 0.2553*SIN(8.3905*O34 + 0.5993) + 0.0792*SIN(8.0194*X34 - 5.3792) - 0.4156*SIN(4.9622*AA34 - 1.5814) - 0.3407*SIN(7.0398*AB34 + 6.4012) - 0.1278*SIN(8.8108*C34 - 2.3698) + 1.2712*SIN(0.6319*AF34 + 9.0186) - 0.1015*SIN(1.1983*H34 - 9.0053) + 0.0007*EXP(-3.4345*P34)) - 0.0033*SIN(4.1586*K34 - 9.3343) + 0.0009*SIN(9.1776*K34 + 9.5928) + 0.0135*SIN(9.805*K34 + 7.2038) - 0.0022*SIN(0.8*M34 - 9.9999) - 0.0088*SIN(3.5982*M34 - 5.395) - 0.0519*SIN(4.9856*M34 - 4.3637) - 0.041*SIN(7.7498*M34 - 8.9534) + 0.0104*SIN(0.8143*N34 - 9.2128) - 0.0835*SIN(5.804*N34 - 0.8051) - 0.1136*SIN(8.8014*N34 + 1.8034) + 0.0083*SIN(8.8162*O34 + 6.0024) - 0.0125*SIN(7.8403*X34 - 5.1898) - 0.0273*SIN(4.3632*Y34 - 3.599) - 0.0009*SIN(2.6208*Z34 + 5.605) - 0.0668*SIN(0.7881*AA34 + 0.9987) + 0.0039*SIN(5.9578*AA34 + 4.623) - 0.0292*SIN(9.1993*AB34 - 3.1862) - 0.0053*SIN(8.6105*C34 - 2.1704) + 0.0027*SIN(1.127*AE34 + 6.4227) + 0.0171*SIN(0.6208*AF34 + 5.8126) + 0.0031*SIN(5.2015*G34 - 7.7918) + 0.0407*SIN(8.9532*G34 - 1.5879) - 0.034*SIN(3.7601*H34 - 8.5243) - 0.0043*SIN(7.9286*H34 + 5.5516) - 0.0108*SIN(8.3394*H34 - 2.568) + 0.0096*TAN(3.38*O34 - 3.217) + 0.0002*TAN(3.5883*X34 + 1.395) - 0.0033*TAN(2.0105*Y34 - 8.796) + 0.0026*TAN(5.585*AB34 - 9.5975) + 0.001*TAN(5.596*AC34 - 4.3938) + 0.0009*TAN(9.5893*G34 - 0.3922) - 0*TAN(8.1589*H34 - 9.2447) - 0.0007*TAN(4.7924*I34 - 1.9776) + 0.0387*TANH(5.9622*AD34 + 2.8034) + 2.5848</f>
        <v>2.1448111895537281</v>
      </c>
      <c r="AJ34">
        <f t="shared" ref="AJ34:AJ65" si="6" xml:space="preserve">  0.0554*A34 + 0.0295*J34 - 0.0016*K34 - 0.0318*O34 + 0.0423*P34 - 0.0207*Q34 + 0.0214*R34 - 0.0407*S34 + 0.0457*B34 + 0.0114*T34 + 0.0105*U34 - 0.0132*V34 - 0.0309*W34 - 0.0039*X34 + 0.0241*Y34 + 0.0389*Z34 - 0.03*AA34 + 0.0188*AB34 - 0.0005*AC34 - 0.0247*C34 + 0.081*AD34 + 0.0889*AE34 + 0.1114*AF34 + 0.0156*D34 + 0.0154*E34 - 0.0009*F34 - 0.0044*G34 - 0.0022*I34 - 0.0266*(0.2068 - L34)^2 + 0.0029*(0.8119 - L34)^2 + 0.0026*(1 - 0.9069*L34)^2 + 0.0125*(-L34 - 0.8517)^2 - 0.0045*(-L34 - 0.7545)^2 - 0.0006*(-L34 - 0.717)^2 + 0.0015*(-L34 - 0.5749)^2 + 0.0016*(-0.518*L34 - 1)^2 - 0.0009*(-0.7696*X34 - 1)^2 + 0.0015*(-0.5299*X34 - 1)^2 + 0.0019*(-0.8625*G34 - 1)^2 + 0.0097*EXP(0.9399*K34) + 0.002*EXP(1.7085*K34) - 0.0013*EXP(1.1382*L34) - 0.0036*EXP(1.1178*X34) + 0.0043*EXP(1.4245*G34) + 0.0032*EXP(1.667*G34) - 0.0251*LN(6.8506 - 5.2784*AC34) - 0.0003*SIN(1.4059*J34 + 5.2119) + 0.0018*SIN(2.0013*J34 + 8.5958) - 0.0043*SIN(4.7949*J34 - 8.1826) - 0.0147*SIN(9.0108*J34 + 4.3782) - 0.0045*SIN(1.8196*K34 + 8.5972) - 0.0018*SIN(2.741*K34 - 7.1617) - 0.0223*SIN(5.3619*K34 + 8.5934) + 0.0105*SIN(6.9102*K34 - 9.5643) - 0.0276*SIN(9.1936*K34 - 2.3931999206543) + 0.008*SIN(3.6169*M34 - 8.3966) + 0.0216*SIN(7.7648*M34 + 0.817) - 0.1315*SIN(7.9222*M34 - 9.1472) + 0.0349*SIN(7.9528*M34 + 0.4212) + 0.0145*SIN(7.9714*M34 + 6.6069) + 0.0773*SIN(8.0055*M34 + 3.5926) - 0.0156*SIN(8.1752*M34 + 6.5734) - 0.0144*SIN(9.1757*M34 + 1.2237) + 0.0469*SIN(9.1974*M34 + 7.2098) - 0.1191*SIN(0.3696*N34 + 1.0414) - 0.0065*SIN(0.7924*N34 + 2.5872) + 0.018*SIN(1.6148*N34 - 4.3907) - 0.24*SIN(7.8094*N34 + 9.6986) + 0.0126*SIN(8.9713*N34 + 1.1885) - 0.0071*SIN(9.1727*N34 + 7.5982) + 0.0334*SIN(9.7983*N34 + 3.1893) - 0.0269*SIN(0.5938*O34 + 1.8115) - 0.0211*SIN(3.6066*O34 + 1.3711) + 0.0029*SIN(3.7731*O34 - 5.1906) - 0.0143*SIN(5.2137*O34 + 4.5786) - 0.0159*SIN(8.5755*O34 - 6.387) - 0.0064*SIN(8.6104*O34 + 6.3922) + 0.0007*SIN(1.6132*X34 - 1.1866) - 0.0357*SIN(2.6334*X34 + 8.6637) + 0.01*SIN(10*X34 + 7.6) + 0.0267*SIN(0.6298*Y34 + 2.4254) + 0.0143*SIN(3.9449*Y34 - 9.185) + 0.0143*SIN(4.215*Y34 - 0.0068) - 0.0017*SIN(2.5719*Z34 - 4.3922) + 0.0473*SIN(5.1227*AA34 - 8.8148) - 0.0174*SIN(5.1817*AA34 + 3.5906) + 0.0052*SIN(5.9426*AA34 + 8.0374) + 0.0852*SIN(5.9616*AA34 + 4.8153) + 0.0096*SIN(9.7421*AA34 - 4.1558) + 0.0108*SIN(9.918*AA34 + 1.58) - 0.0026*SIN(1.648*AC34 - 9.5724) + 0.0021*SIN(7.0554*AC34 + 3.0087) + 0.008*SIN(9.4829*AC34 + 2.2768) + 0.0356*SIN(9.7796*AC34 + 2.3897) + 0.0396*SIN(0.5813*AE34 - 7.4226) + 0.016*SIN(1.7936*G34 + 3.1916) - 0.009*SIN(5.5818*G34 + 0.799) + 0.0103*SIN(8.9867*G34 - 0.972) + 0.0047*SIN(1.9914*H34 + 2.5906) - 0.0144*SIN(7.5808*H34 - 7.013) + 0.0074*SIN(7.9659*H34 - 0.2063) - 0.0151*SIN(8.5492*H34 - 7.6084) - 0.0024*SIN(8.8094*H34 + 9.0046) + 0.0129*SIN(0.5188*I34 - 7.4581) - 0.0062*SIN(5.0118*I34 + 1.5887) + 0.011*SIN(5.4035*I34 - 7.0002) - 0.0105*SIN(6.5277*I34 + 4.5538) + 0.009*SIN(9.159*I34 - 8.8234) + 0.0269*SIN(9.3478*I34 - 9.2214) - 0.013*SIN(9.5734*I34 + 1.9898) + 0.0148*SIN(-0.0261*A34 + 0.0413*J34 - 0.1294*P34 + 0.058*Q34 + 0.1964*R34 - 0.0366*S34 - 0.0099*B34 + 0.0717*T34 + 0.0384*U34 - 0.0139*V34 - 0.1456*W34 - 0.1114*Y34 + 0.02*Z34 - 0.1007*AB34 - 0.0103*C34 - 0.1018*AD34 + 0.186*AE34 + 0.1251*AF34 + 0.0155*D34 + 0.036*E34 + 0.0317*F34 + 0.0068*(-L34 - 0.5749)^2 - 0.1264*SIN(9.1936*K34 - 2.3931999206543) - 0.602*SIN(7.9222*M34 - 9.1472) + 0.1527*SIN(9.7983*N34 + 3.1893) - 0.0726*SIN(8.5755*O34 - 6.387) + 0.0494*SIN(9.918*AA34 + 1.58) + 0.1629*SIN(9.7796*AC34 + 2.3897) + 0.0731*SIN(1.7936*G34 + 3.1916) - 0.069*SIN(8.5492*H34 - 7.6084) + 0.1231*SIN(9.3478*I34 - 9.2214) + 0.0046*TAN(7.1832*X34 + 5.66) - 1.3108) - 0.0038*TAN(1.5696*J34 + 1.8299) - 0*TAN(5.0982*K34 - 8.845) + 0.0007*TAN(9.326*K34 - 7.6875) + 0.0161*TAN(1.61079978942871*M34 + 5.391) - 0.0003*TAN(4.4*N34 + 9.9985) + 0.0002*TAN(8.7618*N34 - 6.5267) - 0.0087*TAN(9.8005*N34 + 6.5939) + 0.0019*TAN(0.5894*O34 + 2.0044) + 0.0359*TAN(7.413*O34 - 6.8029) - 0.0044*TAN(9.0089*O34 + 8.3906) + 0.001*TAN(7.1832*X34 + 5.66) - 0.0017*TAN(4.3926*Y34 - 2.9996) - 0.0038*TAN(4.2102*Z34 - 8.4078) + 0.0009*TAN(4.781*AA34 - 2.0338) + 0.0019*TAN(6.1579*AB34 + 1.5657) + 0.0002*TAN(2.2243*H34 + 1.5962) + 0.0013*TAN(5.737*H34 + 9.4418) - 0*TAN(7.8188*H34 - 6.3774) + 0.0048*TAN(8.1667*H34 + 9.5738) + 0.0003*TAN(9.21080017089844*H34 - 8.0242) - 0.0072*TAN(2.8083*I34 + 2.3948) - 0.0032*TANH(1.2265*Y34 - 1.097) - 0.0143*TANH(0.9111*Z34 - 0.6862) + 0.001*ABS(5.9999*AA34 + 0.208) + 2.2032 + 0.0003*EXP(-1.3167*L34)</f>
        <v>2.0865079624853515</v>
      </c>
      <c r="AK34" t="e">
        <f t="shared" ref="AK34:AK65" si="7">0.0937*A34+0.0086*J34-0.0475*M34+0.0001*N34+0.0679*O34+0.0117*P34+0.0173*Q34-0.0429*R34-0.0985*S34+0.0055*B34-0.0228*T34-0.0091*U34+0.0082*V34-0.031*W34-0.0005*X34+0.007*Y34+0.0207*Z34-0.0023*AA34+0.0052*AB34-0.0265*AC34-0.0146*C34+0.163*AD34+0.0827*AE34+0.0131*AF34-0.033*D34-0.2091*E34-0.0155*F34-0.0036*G34-0.0043*H34+0.0019*I34-0.0014*(0.0354-L34)^2+0.0017*(1-0.8727*K34)^3-0.0025*(1-0.1965*L34)^2+0.0034*(-0.7412*J34-1)^2+0.0003*(-K34-0.8278)^2-0.0135*SQRT(0.6326*K34+1)+0.0099*(-L34-0.8047)^2+0.0002*(-L34-0.7694)^2+0.0005*(-L34-0.6738)^2-0.0024*(-0.9844*L34-1)^2-0.0003*(-0.9329*L34-1)^2-0.001*(-0.9307*L34-1)^2+0.0017*(-0.8379*L34-1)^2-0.0015*(-0.7557*L34-1)^2+0.0005*(-0.7474*L34-1)^2-0.0011*(-0.7065*L34-1)^2-0.0004*(-0.5845*L34-1)^2-0.0031*(-0.5836*L34-1)^2+0.0223*(-0.3126*L34-1)^2-0.047*SQRT(0.5539*O34+1)+0.0042*(-0.9116*G34-1)^2-0.0008*(0.0093*A34-0.006*O34+0.0338*P34-0.0048*Q34+0.0217*R34+0.0289*S34-0.0203*B34+0.014*T34+0.0009*U34-0.012*V34+0.0132*W34-0.0207*Z34+0.0015*C34-0.0058*AD34-0.0219*AE34+0.0089*AF34-0.0396*D34-0.1964*E34-0.0039*(-K34-0.8278)^2+0.0355*(-0.5836*L34-1)^2-0.0555*SIN(7.2184*J34+0.5836)-0.0289*SIN(6.5657*N34-7.0156)-0.0529*SIN(4.1635*Y34-6.3993)+0.0334*SIN(0.4127*AA34-7.7931)+0.0732*SIN(0.8*AB34-10)+0.0366*SIN(6.0121*G34+5.19960021972656)+0.1422*SIN(7.3551*H34+6.1722)+0.3077*SIN(8.2066*I34-9.5966)+0.011*TAN(4.8096*M34+1.7911)+0.0218*TAN(1.6314*AC34+6.1852)-1)^2+0.0028*EXP(1.1099*K34)+0.0111*EXP(0.9182*L34)-0.0005*EXP(1.0058*L34)-0.0029*EXP(1.2426*L34)+0.0015*EXP(1.5088*L34)-0.0002*EXP(0.3023*O34)+0.0231*EXP(1.0676*X34)+0.0034*EXP(1.1502*X34)-0.0001*EXP(4.8351*X34)+0.001*EXP(2.1889*AC34)-0.0004*EXP(4.7526*AC34)+0.0007*EXP(3.0232*G34)-0.0003*LN(2.7834-2.5871*AC34)+0.0005*LN(5.623-5.2271*AC34)-0.0066*LN(7.9556-4.6918*Z34)+0.0292*LN(8.576-7.9718*AC34)-0.0038*LN(9.4409-5.5014*I34)-0.0004*LN(9.6788-7.9076*X34)+0.0017*LN(9.8921-7.8747*X34)+0.0029*LN(1.5942*AB34+1.7944)+0.0028*LN(7.4166*AD34+5.2084)-0.0192*LN(7.5653*AD34+5.3129)-0.0001*LN(8.8766*AD34+6.2574)-0.9766*SIN(1.8174*J34-1.0212)+0.0009*SIN(3.394*J34-7.1947)+0.0179*SIN(3.5838*J34-6.7989)+0.0018*SIN(3.5986*J34+2.5868)-0.0051*SIN(6.2046*J34+3.7921)+0.0936*SIN(7.2039*J34-2.6115)+0.0049*SIN(7.2184*J34+0.5836)+0.0019*SIN(1.8185*K34+5.2116)+0.0104*SIN(2.227*K34+2.4092)-0.018*SIN(4.2146*K34+9.385)+0.0013*SIN(4.4647*K34+6.7516)+0.0387*SIN(5.5753*K34-9.807)+0.0022*SIN(6.0074*K34-0.6062)+0.0039*SIN(6.1878*K34-1.189)-0.0056*SIN(6.3606*K34-3.8148)-0.0059*SIN(6.4004*K34-6.7887)-0.0005*SIN(6.6252*K34-8.4241)-0.0003*SIN(8.7719*K34+3.7933)+0.0124*SIN(9.0226*K34+0.4127)+0.0009*SIN(9.2362*K34+3.6145)+0.0022*SIN(3.4005*M34-7.7978)+0.025*SIN(4.8096*M34-8.1953)+0.0026*SIN(4.9862*M34-4.9866)-0.002*SIN(5.2059*M34+7.3858)+0.0032*SIN(7.1554*M34-6.9487)+0.0025*SIN(8.7527*M34-2.1954)-0.1793*SIN(8.7706*M34+1.6113)+0.0326*SIN(8.7722*M34-1.5754)-0.0031*SIN(8.9652*M34+7.2026)+0.0716*SIN(9.0035*M34-8.1922)-0.0371*SIN(9.1489*M34+6.8178)-0.0001*SIN(9.5797*M34+3.2086)-0.0011*SIN(1.7806*N34+5.0026)+0.0114*SIN(4.1796*N34-5.9866)-0.0043*SIN(4.6181*N34+1.7994)-0.0432*SIN(6*N34+10)+0.001*SIN(6.2081*N34-0.9789)+0.0026*SIN(6.5657*N34-7.0156)-0.0424*SIN(8.5862*N34+2.5969)+0.0006*SIN(9.3975*N34-7.3958)+0.003*SIN(0.4046*O34-4.1864)+0.0106*SIN(0.6013*O34-7.5963)-0.0028*SIN(0.8098*O34-7.9977)+0.0029*SIN(3.3894*O34-4.5885)+0.0615*SIN(4.4031*O34-2.9981)-0.0057*SIN(5.3991*O34-8.59)+0.0022*SIN(8.21640014648438*O34-2.4047)+0.0024*SIN(8.6048*O34-3.2054)-0.0052*SIN(8.618*O34+6.3853)+0.0168*SIN(8.7863*O34+2.8105)+0.0426*SIN(8.813*O34-9.6077)+0.0999*SIN(9.0183*O34+5.5966)-0.0111*SIN(9.8213*O34-2.8076)+0.0164*SIN(9.9998*O34-3)-0.0003*SIN(1.3946*X34-1.4057)-0.0058*SIN(3.5737*X34+1.1755)+0.0025*SIN(4.1824*X34+7.1814)-0.0013*SIN(4.9731*X34+2.3814)-0.0002*SIN(6.4117*X34-4.1851)-0.0322*SIN(10*X34+6.6)+0.0047*SIN(4.1635*Y34-6.3993)-0.0036*SIN(4.2082*Y34-6.4001)-0.005*SIN(4.3626*Y34+8.777)+0.0014*SIN(4.5624*Y34+5.3806)-0.0428*SIN(7.1376*Y34-8.4354)-0.0027*SIN(8.3793*Y34+0.7876)+0.0008*SIN(5.1897*Z34-5.6033)-0.0018*SIN(10*Z34+3.2)-0.0029*SIN(0.4127*AA34-7.7931)+0.0164*SIN(0.623*AA34-1.4113)+0.1082*SIN(4.9031*AA34-8.3542)-0.0126*SIN(5.1511*AA34-5.6266)-0.0789*SIN(5.5818*AA34+2.18239974975586)+0.0136*SIN(5.757*AA34+1.9934)-0.0006*SIN(5.76959991455078*AA34+2.0235)-0.013*SIN(5.9389*AA34-4.784)-0.0136*SIN(5.9578*AA34-7.7705)+0.0334*SIN(6.5373*AA34-5.9675)-0.0007*SIN(6.5398*AA34+3.0609)-0.0122*SIN(9.7421*AA34-4.3664)-0.0065*SIN(0.8*AB34-10)-0.0037*SIN(6.3813*AB34-5.7898)+0.0098*SIN(7.4373*AB34-6.3734)+0.002*SIN(9.1838*AB34+3.7828)+0.0033*SIN(9.5653*AB34-0.2029)+0.0033*SIN(9.5817*AB34+9.4075)-0*SIN(5.2921*AC34-0.1589)-0.0016*SIN(6.2874*AC34-0.8015)+0.0081*SIN(1.213*C34+5.2021)+0.0014*SIN(1.7976*C34-1.8115)+0.0066*SIN(0.5007*AF34+2.3303)-0.0032*SIN(6.0121*G34+5.19960021972656)-0.101*SIN(6.20240020751953*G34+1.7746)+0.0472*SIN(7.6254*G34+3.8222)-0*SIN(8.9894*G34+4.2096)+0.0016*SIN(9.7821*G34+2.3931)+0.0054*SIN(2.0023*H34-6.8078)+0.0014*SIN(3.0821*H34-1.5883)-0.0394*SIN(5.1807*H34+9.5933)+0.0089*SIN(5.1874*H34-0.1949)-0.0053*SIN(5.4017*H34-5.9841)+0.0178*SIN(5.9565*H34-2.611)-0.0125*SIN(7.3551*H34+6.1722)+0.0001*SIN(7.9897*H34+6.408)-0.0067*SIN(8.3601*H34-2.5754)+0.0019*SIN(8.7636*H34+8.9782)+0.0123*SIN(9.0006*H34+8.8021)+0.0626*SIN(9.1392*H34+6.7824)-0.0013*SIN(9.3383*H34+5.8458)-0.0478*SIN(0.8026*I34-7.2046)+0.0136*SIN(6.5775*I34-4.613)-0.0271*SIN(8.2066*I34-9.5966)+0.0079*SIN(8.3558*I34+6.1568)+0.0047*SIN(9.211*I34+6.8086)-0.0005*SIN(10*I34+6)+0.0008*SIN(-0.0345*A34-0.0174*J34+0.0087*P34+0.0889*Q34-0.1745*R34-0.1405*S34+0.0324*B34+0.0424*T34-0.0084*U34-0.0403*V34+0.0854*W34-0.1448*Y34+0.0435*Z34-0.1681*AC34+0.0738*C34-0.1416*AD34-0.0603*AE34+0.0708*AF34+0.0112*D34-0.8901*E34+0.0055*F34+0.0528*G34+0.0046*I34+0.0229*(-0.8379*L34-1)^2+0.0394*LN(1.5942*AB34+1.7944)+0.0522*SIN(6.1878*K34-1.189)+0.0388*SIN(3.3894*O34-4.5885)-0.0787*SIN(3.5737*X34+1.1755)+0.0008*TAN(4.1986*M34-8.192)-0.0031*TAN(9.6038*N34-2.241)+0.0369*ABS(9.5474*AA34+2.437)-9.128+0.0141*EXP(-1.8835*H34))-0.0041*SIN(-0.0212*A34-0.046*O34+0.0142*P34-0.0084*Q34+0.0524*R34+0.0249*S34+0.0262*B34+0.0272*T34+0.0137*U34+0.0262*V34-0.0166*W34+0.0113*Y34-0.0311*Z34+0.0142*AB34-0.0277*C34+0.0824*AE34+0.0943*AF34+0.0254*D34+0.2323*E34+0.0165*F34+0.0088*I34-0.0013*EXP(1.5088*L34)+0.0163*LN(7.5653*AD34+5.3129)+0.8293*SIN(1.8174*J34-1.0212)+0.0153*SIN(4.2146*K34+9.385)+0.1523*SIN(8.7706*M34+1.6113)+0.0273*SIN(10*X34+6.6)+0.0857*SIN(6.20240020751953*G34+1.7746)-0.0104*SIN(9.0006*H34+8.8021)-0.0079*TAN(1.0174*N34+5.356)+0.0123*TAN(7.26399993896484*AC34-9.4214)+0.0148*ABS(5.044*AA34-0.6056)-0.3838)-0.6964*SIN(-0.0197*A34-0.0428*O34+0.0132*P34-0.0078*Q34+0.0488*R34+0.0232*S34+0.0243*B34+0.0253*T34+0.0127*U34+0.0244*V34-0.0155*W34+0.0105*Y34-0.0289*Z34+0.0133*AB34-0.0258*C34+0.0766*AE34+0.0877*AF34+0.0236*D34+0.2161*E34+0.0154*F34+0.0082*I34-0.0012*EXP(1.5088*L34)+0.0152*LN(7.5653*AD34+5.3129)+0.7715*SIN(1.8174*J34-1.0212)+0.0142*SIN(4.2146*K34+9.385)+0.1417*SIN(8.7706*M34+1.6113)+0.0254*SIN(10*X34+6.6)+0.0797*SIN(6.20240020751953*G34+1.7746)-0.0097*SIN(9.0006*H34+8.8021)-0.0074*TAN(1.0174*N34+5.356)+0.0114*TAN(7.26399993896484*AC34-9.4214)+0.0137*ABS(5.044*AA34-0.6056)+9.0089)-0.0283*SIN(-0.0188*A34-0.0408*O34+0.0126*P34-0.0075*Q34+0.0465*R34+0.0221*S34+0.0232*B34+0.0242*T34+0.0121*U34+0.0233*V34-0.0148*W34+0.01*Y34-0.0276*Z34+0.0126*AB34-0.0246*C34+0.0731*AE34+0.0838*AF34+0.0226*D34+0.2062*E34+0.0147*F34+0.0078*I34-0.0011*EXP(1.5088*L34)+0.0145)</f>
        <v>#NUM!</v>
      </c>
      <c r="AL34">
        <f t="shared" ref="AL34:AL65" si="8" xml:space="preserve"> 0.0402*A34 - 0.0081*J34 - 0.0173*N34 + 0.0633*P34 + 0.0235*Q34 + 0.0162*R34 - 0.0551*S34 + 0.007*B34 - 0.0043*T34 - 0.0033*U34 + 0.0156*V34 - 0.02*W34 - 0.0027*X34 + 0.0071*Y34 + 0.0026*Z34 - 0.0304*AA34 - 0.0012*AB34 - 0.0006*AC34 + 0.01*C34 + 0.0222*AD34 + 0.1343*AE34 + 0.0838*AF34 - 0.0054*D34 + 0.0155*E34 + 0.0022*F34 + 0.0225*G34 - 0.0007*I34 + 0.0015*(0.742 - L34)^2 - 0.0154*(1 - 0.3916*L34)^2 - 0.0792*(1 - 0.0569*L34)^2 - 0.0003*(-J34 - 0.9486)^2 - 0.0017*(-L34 - 0.5398)^2 - 0.0008*(-L34 - 0.2579)^2 - 0.0006*(-L34 - 0.1189)^2 + 0.0015*(-0.7159*L34 - 1)^2 - 0.0002*(-0.6291*L34 - 1)^2 - 0.0171*(-0.483*L34 - 1)^2 + 0.0066*SQRT(0.6756*C34 + 1) - 0.0008*(-I34 - 0.4475)^2 - 0.0249*EXP(0.1886*O34) + 0.0002*EXP(2.771*U34) + 0.0038*EXP(1.0842*X34) + 0.0058*EXP(1.7146*X34) + 0.0184*EXP(0.9262*AC34) - 0*EXP(1.1276*I34) + 0.0181*LN(5.2011 - 3.0012*Z34) - 0.017*LN(6.6424*O34 + 7.2291) - 0.0012*LN(4.1458*C34 + 5.721) + 0.0117*LN(7.4178*AD34 + 5.2092) + 0.0027*LN(9.0854*AD34 + 6.4622) - 0.0163*SIN(1.9935*J34 + 7.5862) + 0.0195*SIN(3.03079986572266*J34 + 3.7804) - 0.0082*SIN(5.9574*J34 + 0.7547) - 0.0147*SIN(1.012*K34 - 9.992) + 0.0386*SIN(1.1833*K34 - 1.1992) + 0.0098*SIN(2.4259*K34 + 5.3926) - 0.0127*SIN(2.563*K34 - 7.5815) + 0.0002*SIN(3.1518*K34 + 1.4218) + 0.0502*SIN(5.5872*K34 + 6.0045) - 0.0048*SIN(9.7763*K34 + 1.0013) + 0.0076*SIN(6.9662*M34 - 1.589) + 0.0015*SIN(7.3448*M34 + 1.1954) - 0.1235*SIN(7.5575*M34 - 2.1542) + 0.005*SIN(7.567*M34 - 2.388) - 0.0311*SIN(7.6*M34 + 10) + 0.0019*SIN(9.946*M34 + 7.188) + 0.0016*SIN(0.78*N34 + 6.6171) - 0.0044*SIN(4.0024*N34 - 3.01) + 0.0152*SIN(5.6172*N34 + 9.0205) - 0.001*SIN(0.6112*O34 - 7.3958) + 0.0055*SIN(0.7844*O34 + 4.415) + 0.041*SIN(3.963*O34 - 2.3903) - 0.0192*SIN(8.3862*O34 + 3.5989) + 0.013*SIN(9.0153*O34 - 4.2134) - 0.0798*SIN(9.9999*O34 - 9.4) + 0.0001*SIN(1.2158*X34 + 1.7984) + 0.0131*SIN(2.9463*X34 - 9.5) - 0.0017*SIN(3.0069*X34 + 6.4098) - 0.0014*SIN(3.2216*X34 + 7.04) - 0.003*SIN(4.5947*X34 - 0.9925) - 0.0046*SIN(5.1552*Y34 + 8.9889) + 0.0001*SIN(3.9762*Z34 - 5.8045) + 0.967*SIN(9.4123*Z34 - 3.6014) + 0.0067*SIN(0.6238*AA34 - 1.4155) - 0.0039*SIN(4.5996*AA34 + 7.7992) + 0.0227*SIN(4.7631*AA34 - 4.9857) - 0.1641*SIN(0.5554*AB34 - 4.5998) - 0.0002*SIN(3.3374*AB34 - 4.3125) + 0.0072*SIN(4.8128*AB34 + 0.7841) + 0.0082*SIN(6.0064*AB34 - 4.1892) + 0.0129*SIN(8.5658*AB34 - 2.6197) + 0.018*SIN(2.3917*AC34 - 6.2071) - 0.0051*SIN(6.8214*AC34 - 0.788) - 0.0555*SIN(9.2086*C34 - 2.8096) - 0.0064*SIN(1.8514*AD34 - 7.9837) - 0.0065*SIN(4.5727*G34 - 4.9808) + 0.1062*SIN(0.5248*H34 - 7.6358) + 0.0003*SIN(5.1364*H34 - 2.6246) + 0.0058*SIN(5.2121*H34 - 8.6062) + 0.0015*SIN(8.3474*H34 + 9.8074) - 0.0029*SIN(6.1714*I34 - 4.1886) + 0.0653*SIN(7.2156*I34 - 3.4219) + 0.0001*TAN(8.9948*J34 - 7.1934) + 0.0001*TAN(5.8009*K34 + 4.5993) + 0.0098*TAN(6.7794*K34 - 6.8226) + 0.0029*TAN(6.9834*K34 + 4.6135) + 0.0413*TAN(4.6158*M34 + 2.3649) + 0.0008*TAN(5.595*M34 + 8.3922) - 0.003*TAN(7.9858*M34 + 9.2241) + 0.0005*TAN(2.5273*N34 - 7.8565) + 0.0115*TAN(3.7922*N34 - 6.7997) - 0.0003*TAN(6.9793*N34 + 3.9058) - 0.0004*TAN(9.7633*N34 - 5.0526) - 0.0018*TAN(0.4048*O34 + 2.7944) - 0.0002*TAN(5.241*X34 - 1.8188) + 0.0005*TAN(5.3875*X34 + 1.1754) - 0.023*TAN(8.7482*Y34 + 9.5368) - 0.0009*TAN(2.6115*AB34 - 7.0377) - 0.0025*TAN(7.108*AB34 + 4.9987) + 0.0031*TAN(3.0199*AC34 + 1.8452) - 0.0043*TAN(5.0026*G34 - 4.0162) - 0*TAN(5.3945*G34 - 4.7995) + 0.0002*TAN(4.327*H34 + 4.52) + 0.0016*TAN(4.4351*H34 + 4.6384) + 0.005*TAN(7.9829*H34 - 9.2638) + 0.0072*TAN(8.1618*H34 - 9.2259) - 0.0018*TAN(8.1785*H34 + 6.7678) - 0*TAN(8.7587*H34 + 8.4482) + 0.0005*TANH(0.6928*M34 - 1.3492) + 0.2147*TANH(8.5269*Z34 - 5.9027) + 0.0035*TANH(1.7999*I34 - 1.312) + 2.4028 + 0.0128*EXP(-1.7949*C34) - 0.0138*EXP(-0.881*N34) + 0.0012*EXP(-0.202*L34)</f>
        <v>1.778864553616305</v>
      </c>
      <c r="AM34" s="3">
        <f t="shared" ref="AM34:AM65" si="9">-0.0033*A34 - 0.0104*J34 + 0.0097*P34 + 0.0128*Q34 + 0.0144*R34 + 0.0183*S34 - 0.0162*B34 - 0.0054*T34 - 0.0239*U34 - 0.0071*V34 - 0.0265*W34 - 0.012*X34 - 0.0032*Y34 + 0.0035*Z34 - 0.0206*AA34 + 0.0351*AB34 + 0.0243*AC34 - 0.0367*C34 + 0.0171*AD34 + 0.0886*AE34 + 0.0735*AF34 - 0.0009*D34 + 0.0014*E34 - 0.0101*F34 + 0.0055*G34 + 0.0024*I34 + 0.006*(0.5148 - L34)^2 - 0.0053*(1 - 0.8965*L34)^2 - 0.0145*(-0.7725*L34 - 1)^2 - 0.0004*(-0.3067*L34 - 1)^2 + 0.011*EXP(0.795*L34) + 0.0123*SIN(1.1909*J34 + 6.3974) - 0.0299*SIN(9.80039978027344*J34 + 6.3939) + 0.0005*SIN(10*J34 - 6.8) + 0.0002*SIN(5.0137*K34 + 2.9969) - 0.0039*SIN(5.7734*K34 - 7.6027) - 0.087*SIN(6.8247*K34 - 9.7908) + 0.065*SIN(9.001*K34 - 2.6008) - 0.0017*SIN(9.5867*K34 + 4.2014) - 0.1*SIN(7.8095*M34 - 8.5977) + 0.0279*SIN(9.3712*M34 + 9.2339) + 0.0114*SIN(9.3978*M34 - 8.997) + 0.1084*SIN(5.9906*N34 + 8.386) + 0.0281*SIN(6.807*N34 - 1.207) - 0.0146*SIN(9.1668*N34 - 8.5904) + 0.0664*SIN(0.9783*O34 + 7.211) - 0.0077*SIN(3.5826*O34 + 2.0151) + 0.1076*SIN(4.3824*O34 + 3.0014) + 0.0606*SIN(8.5954*O34 + 3.4039) + 0.0064*SIN(1.1734*X34 + 1.2108) + 0.0068*SIN(0.6134*Y34 - 4.1916) - 0.0003*SIN(8.2054*Y34 - 0.011) - 0.01*SIN(9.2072*Y34 + 9.3892) - 0.027*SIN(5.7802*Z34 - 9.376) + 0.1987*SIN(6.5787*Z34 - 4.2128) + 0.0008*SIN(9.3998*AA34 + 2.7986) - 0.0184*SIN(1.9927*AB34 - 1.3718) + 0.0005*SIN(5.9605*AB34 + 2.8006) - 0.0072*SIN(2.2451*AC34 - 7.357) + 0.0453*SIN(7.8342*AC34 + 7.0234) + 0.05*SIN(1.0318*C34 + 4.999) + 0.0069*SIN(9.3768*C34 + 5.9962) - 0.0097*SIN(1.6966*AD34 + 4.819) - 0.4725*SIN(0.2376*AF34 - 3.908) + 0.3291*SIN(0.4282*AF34 - 0.7588) + 0.0006*SIN(1.7814*G34 - 2.9871) + 0.0174*SIN(2.1752*G34 - 8.2016) - 0.0057*SIN(4.8252*G34 - 6.788) + 0.0266*SIN(4.9766*G34 + 1.5681) - 0.0128*SIN(8.933*H34 - 6.1786) + 0.0063*SIN(6.5965*I34 + 1.9946) + 0.0109*TAN(8.9834*M34 + 4.6145) + 0.0016*TAN(8.5814*N34 + 3.2382) - 0.0003*TAN(9.80599975585938*N34 - 8.8131) - 0.0028*TAN(0.5145*X34 - 8.0478) - 0.0012*TAN(6.9784*Y34 - 2.2426) - 0.0064*TAN(9.6066*Z34 - 1.612) - 0.0016*TAN(7.1919*AA34 + 2.1566) - 0.0004*TAN(8.1719*H34 + 3.0406) - 0.0105*TAN(8.7747*H34 - 1.3652) - 0.0016*TAN(8.9669*H34 + 1.575) + 0.0013*TANH(0.6738*M34 + 0.225) + 2.7011 + 0.0006*EXP(-2.6016*AD34) - 0.0363*EXP(-2.1092*AD34)</f>
        <v>2.2921656131667434</v>
      </c>
    </row>
    <row r="35" spans="1:39">
      <c r="A35">
        <v>2.7047715000000001</v>
      </c>
      <c r="B35">
        <v>-0.92084379999999999</v>
      </c>
      <c r="C35">
        <v>0.99856376999999996</v>
      </c>
      <c r="D35">
        <v>-1.8576071000000001</v>
      </c>
      <c r="E35">
        <v>-0.64578663999999997</v>
      </c>
      <c r="F35">
        <v>0.33567256000000001</v>
      </c>
      <c r="G35">
        <v>1.1609478</v>
      </c>
      <c r="H35">
        <v>1.3719539999999999</v>
      </c>
      <c r="I35">
        <v>-0.11429016</v>
      </c>
      <c r="J35">
        <v>2.0052661999999999</v>
      </c>
      <c r="K35">
        <v>0.60510909999999996</v>
      </c>
      <c r="L35">
        <v>-1.6130357</v>
      </c>
      <c r="M35">
        <v>2.3171979999999999</v>
      </c>
      <c r="N35">
        <v>-3.7954014000000001E-2</v>
      </c>
      <c r="O35">
        <v>-0.47566825000000001</v>
      </c>
      <c r="P35">
        <v>-0.38069350000000002</v>
      </c>
      <c r="Q35">
        <v>0.78772633999999997</v>
      </c>
      <c r="R35">
        <v>1.0790660000000001</v>
      </c>
      <c r="S35">
        <v>-1.038724</v>
      </c>
      <c r="T35">
        <v>-2.0240490000000002</v>
      </c>
      <c r="U35">
        <v>0.23094010000000001</v>
      </c>
      <c r="V35">
        <v>0.4489108</v>
      </c>
      <c r="W35">
        <v>1.4484608999999999</v>
      </c>
      <c r="X35">
        <v>-1.0208579</v>
      </c>
      <c r="Y35">
        <v>-1.2333449999999999</v>
      </c>
      <c r="Z35">
        <v>-1.0089512</v>
      </c>
      <c r="AA35">
        <v>2.9459026000000001</v>
      </c>
      <c r="AB35">
        <v>-0.23547171</v>
      </c>
      <c r="AC35">
        <v>1.0757432</v>
      </c>
      <c r="AD35">
        <v>0.46264280000000002</v>
      </c>
      <c r="AE35">
        <v>0.93427634000000004</v>
      </c>
      <c r="AF35">
        <v>0.35898461999999998</v>
      </c>
      <c r="AG35">
        <v>2.4849066999999998</v>
      </c>
      <c r="AH35">
        <v>2.5374599</v>
      </c>
      <c r="AI35" s="3">
        <f t="shared" si="5"/>
        <v>2.4663873303397317</v>
      </c>
      <c r="AJ35">
        <f t="shared" si="6"/>
        <v>2.0403684628859757</v>
      </c>
      <c r="AK35" t="e">
        <f t="shared" si="7"/>
        <v>#NUM!</v>
      </c>
      <c r="AL35">
        <f t="shared" si="8"/>
        <v>1.835869981691983</v>
      </c>
      <c r="AM35">
        <f t="shared" si="9"/>
        <v>2.547473381619803</v>
      </c>
    </row>
    <row r="36" spans="1:39">
      <c r="A36">
        <v>-0.36971696999999998</v>
      </c>
      <c r="B36">
        <v>1.0859605000000001</v>
      </c>
      <c r="C36">
        <v>-0.58709526000000001</v>
      </c>
      <c r="D36">
        <v>-1.8576071000000001</v>
      </c>
      <c r="E36">
        <v>-0.64578663999999997</v>
      </c>
      <c r="F36">
        <v>-2.9790937999999998</v>
      </c>
      <c r="G36">
        <v>1.1609478</v>
      </c>
      <c r="H36">
        <v>1.3719539999999999</v>
      </c>
      <c r="I36">
        <v>-0.11429016</v>
      </c>
      <c r="J36">
        <v>2.0052661999999999</v>
      </c>
      <c r="K36">
        <v>1.4257721000000001</v>
      </c>
      <c r="L36">
        <v>0.28183150000000001</v>
      </c>
      <c r="M36">
        <v>0.82588523999999996</v>
      </c>
      <c r="N36">
        <v>1.1613928</v>
      </c>
      <c r="O36">
        <v>-0.47566825000000001</v>
      </c>
      <c r="P36">
        <v>-0.38069350000000002</v>
      </c>
      <c r="Q36">
        <v>0.78772633999999997</v>
      </c>
      <c r="R36">
        <v>-0.92672730000000003</v>
      </c>
      <c r="S36">
        <v>0.96271974000000005</v>
      </c>
      <c r="T36">
        <v>0.49405919999999998</v>
      </c>
      <c r="U36">
        <v>0.23094010000000001</v>
      </c>
      <c r="V36">
        <v>0.4489108</v>
      </c>
      <c r="W36">
        <v>1.4484608999999999</v>
      </c>
      <c r="X36">
        <v>-2.1181066</v>
      </c>
      <c r="Y36">
        <v>0.72022410000000003</v>
      </c>
      <c r="Z36">
        <v>-0.11836857000000001</v>
      </c>
      <c r="AA36">
        <v>-0.53628653000000004</v>
      </c>
      <c r="AB36">
        <v>-1.0355692000000001</v>
      </c>
      <c r="AC36">
        <v>1.0757432</v>
      </c>
      <c r="AD36">
        <v>0.11317238</v>
      </c>
      <c r="AE36">
        <v>1.2367674</v>
      </c>
      <c r="AF36">
        <v>1.4191635</v>
      </c>
      <c r="AG36">
        <v>2.7725887</v>
      </c>
      <c r="AH36">
        <v>2.8293444999999999</v>
      </c>
      <c r="AI36" s="3">
        <f t="shared" si="5"/>
        <v>2.7943079006684894</v>
      </c>
      <c r="AJ36">
        <f t="shared" si="6"/>
        <v>2.5850532043427519</v>
      </c>
      <c r="AK36" t="e">
        <f t="shared" si="7"/>
        <v>#NUM!</v>
      </c>
      <c r="AL36">
        <f t="shared" si="8"/>
        <v>3.4749940617788058</v>
      </c>
      <c r="AM36">
        <f t="shared" si="9"/>
        <v>2.8692534985099289</v>
      </c>
    </row>
    <row r="37" spans="1:39">
      <c r="A37">
        <v>-0.36971696999999998</v>
      </c>
      <c r="B37">
        <v>1.0859605000000001</v>
      </c>
      <c r="C37">
        <v>-1.3799248</v>
      </c>
      <c r="D37">
        <v>0.538327</v>
      </c>
      <c r="E37">
        <v>-0.64578663999999997</v>
      </c>
      <c r="F37">
        <v>0.33567256000000001</v>
      </c>
      <c r="G37">
        <v>-0.67334970000000005</v>
      </c>
      <c r="H37">
        <v>0.45149228000000002</v>
      </c>
      <c r="I37">
        <v>-0.11429016</v>
      </c>
      <c r="J37">
        <v>-0.30316411999999998</v>
      </c>
      <c r="K37">
        <v>-0.21555388</v>
      </c>
      <c r="L37">
        <v>0.28183150000000001</v>
      </c>
      <c r="M37">
        <v>-0.66542756999999997</v>
      </c>
      <c r="N37">
        <v>1.1613928</v>
      </c>
      <c r="O37">
        <v>-0.47566825000000001</v>
      </c>
      <c r="P37">
        <v>2.6267849999999999</v>
      </c>
      <c r="Q37">
        <v>-1.2694764000000001</v>
      </c>
      <c r="R37">
        <v>1.0790660000000001</v>
      </c>
      <c r="S37">
        <v>-1.038724</v>
      </c>
      <c r="T37">
        <v>-2.0240490000000002</v>
      </c>
      <c r="U37">
        <v>0.23094010000000001</v>
      </c>
      <c r="V37">
        <v>0.4489108</v>
      </c>
      <c r="W37">
        <v>-0.69038796000000002</v>
      </c>
      <c r="X37">
        <v>1.1736394000000001</v>
      </c>
      <c r="Y37">
        <v>-0.25656050000000002</v>
      </c>
      <c r="Z37">
        <v>-1.0089512</v>
      </c>
      <c r="AA37">
        <v>-0.53628653000000004</v>
      </c>
      <c r="AB37">
        <v>-0.23547171</v>
      </c>
      <c r="AC37">
        <v>1.0757432</v>
      </c>
      <c r="AD37">
        <v>-0.23629803999999999</v>
      </c>
      <c r="AE37">
        <v>2.6803009999999999E-2</v>
      </c>
      <c r="AF37">
        <v>-0.17110481999999999</v>
      </c>
      <c r="AG37">
        <v>2.4849066999999998</v>
      </c>
      <c r="AH37">
        <v>2.311496</v>
      </c>
      <c r="AI37">
        <f t="shared" si="5"/>
        <v>2.2927863026448132</v>
      </c>
      <c r="AJ37" s="3">
        <f t="shared" si="6"/>
        <v>2.4917430707503367</v>
      </c>
      <c r="AK37" t="e">
        <f t="shared" si="7"/>
        <v>#NUM!</v>
      </c>
      <c r="AL37">
        <f t="shared" si="8"/>
        <v>1.987175634804853</v>
      </c>
      <c r="AM37">
        <f t="shared" si="9"/>
        <v>2.4342436175093805</v>
      </c>
    </row>
    <row r="38" spans="1:39">
      <c r="A38">
        <v>-0.36971696999999998</v>
      </c>
      <c r="B38">
        <v>1.0859605000000001</v>
      </c>
      <c r="C38">
        <v>0.20573424000000001</v>
      </c>
      <c r="D38">
        <v>-1.8576071000000001</v>
      </c>
      <c r="E38">
        <v>1.5484990999999999</v>
      </c>
      <c r="F38">
        <v>0.33567256000000001</v>
      </c>
      <c r="G38">
        <v>-1.5904984</v>
      </c>
      <c r="H38">
        <v>-1.3894310999999999</v>
      </c>
      <c r="I38">
        <v>-0.11429016</v>
      </c>
      <c r="J38">
        <v>0.85105103000000004</v>
      </c>
      <c r="K38">
        <v>-1.0362169000000001</v>
      </c>
      <c r="L38">
        <v>0.28183150000000001</v>
      </c>
      <c r="M38">
        <v>3.8085108000000001</v>
      </c>
      <c r="N38">
        <v>-3.7954014000000001E-2</v>
      </c>
      <c r="O38">
        <v>3.5148937999999998</v>
      </c>
      <c r="P38">
        <v>-0.38069350000000002</v>
      </c>
      <c r="Q38">
        <v>-1.2694764000000001</v>
      </c>
      <c r="R38">
        <v>-0.92672730000000003</v>
      </c>
      <c r="S38">
        <v>0.96271974000000005</v>
      </c>
      <c r="T38">
        <v>0.49405919999999998</v>
      </c>
      <c r="U38">
        <v>-4.3301271999999997</v>
      </c>
      <c r="V38">
        <v>-2.227614</v>
      </c>
      <c r="W38">
        <v>1.4484608999999999</v>
      </c>
      <c r="X38">
        <v>1.1736394000000001</v>
      </c>
      <c r="Y38">
        <v>-0.25656050000000002</v>
      </c>
      <c r="Z38">
        <v>1.6627966000000001</v>
      </c>
      <c r="AA38">
        <v>-0.53628653000000004</v>
      </c>
      <c r="AB38">
        <v>2.1648206999999999</v>
      </c>
      <c r="AC38">
        <v>1.0757432</v>
      </c>
      <c r="AD38">
        <v>-0.70225859999999996</v>
      </c>
      <c r="AE38">
        <v>-1.7881435999999999</v>
      </c>
      <c r="AF38">
        <v>-0.70119419999999999</v>
      </c>
      <c r="AG38">
        <v>2.0794415000000002</v>
      </c>
      <c r="AH38">
        <v>1.8252933</v>
      </c>
      <c r="AI38" s="3">
        <f t="shared" si="5"/>
        <v>1.9448493568885508</v>
      </c>
      <c r="AJ38">
        <f t="shared" si="6"/>
        <v>1.8601979940004503</v>
      </c>
      <c r="AK38" t="e">
        <f t="shared" si="7"/>
        <v>#NUM!</v>
      </c>
      <c r="AL38" t="e">
        <f t="shared" si="8"/>
        <v>#NUM!</v>
      </c>
      <c r="AM38">
        <f t="shared" si="9"/>
        <v>1.842985359234327</v>
      </c>
    </row>
    <row r="39" spans="1:39">
      <c r="A39">
        <v>-0.36971696999999998</v>
      </c>
      <c r="B39">
        <v>1.0859605000000001</v>
      </c>
      <c r="C39">
        <v>-0.58709526000000001</v>
      </c>
      <c r="D39">
        <v>0.538327</v>
      </c>
      <c r="E39">
        <v>-0.64578663999999997</v>
      </c>
      <c r="F39">
        <v>0.33567256000000001</v>
      </c>
      <c r="G39">
        <v>1.1609478</v>
      </c>
      <c r="H39">
        <v>0.45149228000000002</v>
      </c>
      <c r="I39">
        <v>-0.91686106000000001</v>
      </c>
      <c r="J39">
        <v>0.85105103000000004</v>
      </c>
      <c r="K39">
        <v>1.4257721000000001</v>
      </c>
      <c r="L39">
        <v>0.28183150000000001</v>
      </c>
      <c r="M39">
        <v>-0.66542756999999997</v>
      </c>
      <c r="N39">
        <v>2.3607395000000002</v>
      </c>
      <c r="O39">
        <v>-0.47566825000000001</v>
      </c>
      <c r="P39">
        <v>-0.38069350000000002</v>
      </c>
      <c r="Q39">
        <v>-1.2694764000000001</v>
      </c>
      <c r="R39">
        <v>-0.92672730000000003</v>
      </c>
      <c r="S39">
        <v>0.96271974000000005</v>
      </c>
      <c r="T39">
        <v>0.49405919999999998</v>
      </c>
      <c r="U39">
        <v>0.23094010000000001</v>
      </c>
      <c r="V39">
        <v>0.4489108</v>
      </c>
      <c r="W39">
        <v>-0.69038796000000002</v>
      </c>
      <c r="X39">
        <v>7.6390730000000004E-2</v>
      </c>
      <c r="Y39">
        <v>-1.2333449999999999</v>
      </c>
      <c r="Z39">
        <v>-1.0089512</v>
      </c>
      <c r="AA39">
        <v>-0.53628653000000004</v>
      </c>
      <c r="AB39">
        <v>-1.0355692000000001</v>
      </c>
      <c r="AC39">
        <v>-1.0712136999999999</v>
      </c>
      <c r="AD39">
        <v>-0.23629803999999999</v>
      </c>
      <c r="AE39">
        <v>2.4467317999999998</v>
      </c>
      <c r="AF39">
        <v>2.2142974999999998</v>
      </c>
      <c r="AG39">
        <v>3.0445224999999998</v>
      </c>
      <c r="AH39">
        <v>2.6401856000000001</v>
      </c>
      <c r="AI39">
        <f t="shared" si="5"/>
        <v>2.8793161536772223</v>
      </c>
      <c r="AJ39">
        <f t="shared" si="6"/>
        <v>2.7199870974312987</v>
      </c>
      <c r="AK39">
        <f t="shared" si="7"/>
        <v>-0.13431838021687956</v>
      </c>
      <c r="AL39">
        <f t="shared" si="8"/>
        <v>2.1589175383358685</v>
      </c>
      <c r="AM39" s="3">
        <f t="shared" si="9"/>
        <v>3.0988159873502887</v>
      </c>
    </row>
    <row r="40" spans="1:39">
      <c r="A40">
        <v>-0.36971696999999998</v>
      </c>
      <c r="B40">
        <v>-0.92084379999999999</v>
      </c>
      <c r="C40">
        <v>-0.58709526000000001</v>
      </c>
      <c r="D40">
        <v>0.538327</v>
      </c>
      <c r="E40">
        <v>-0.64578663999999997</v>
      </c>
      <c r="F40">
        <v>0.33567256000000001</v>
      </c>
      <c r="G40">
        <v>1.1609478</v>
      </c>
      <c r="H40">
        <v>-0.46896939999999998</v>
      </c>
      <c r="I40">
        <v>0.68828076000000005</v>
      </c>
      <c r="J40">
        <v>-0.30316411999999998</v>
      </c>
      <c r="K40">
        <v>-1.0362169000000001</v>
      </c>
      <c r="L40">
        <v>0.28183150000000001</v>
      </c>
      <c r="M40">
        <v>-0.66542756999999997</v>
      </c>
      <c r="N40">
        <v>-3.7954014000000001E-2</v>
      </c>
      <c r="O40">
        <v>-0.47566825000000001</v>
      </c>
      <c r="P40">
        <v>-0.38069350000000002</v>
      </c>
      <c r="Q40">
        <v>0.78772633999999997</v>
      </c>
      <c r="R40">
        <v>-0.92672730000000003</v>
      </c>
      <c r="S40">
        <v>-1.038724</v>
      </c>
      <c r="T40">
        <v>0.49405919999999998</v>
      </c>
      <c r="U40">
        <v>0.23094010000000001</v>
      </c>
      <c r="V40">
        <v>0.4489108</v>
      </c>
      <c r="W40">
        <v>-0.69038796000000002</v>
      </c>
      <c r="X40">
        <v>7.6390730000000004E-2</v>
      </c>
      <c r="Y40">
        <v>-1.2333449999999999</v>
      </c>
      <c r="Z40">
        <v>-0.11836857000000001</v>
      </c>
      <c r="AA40">
        <v>-0.53628653000000004</v>
      </c>
      <c r="AB40">
        <v>-1.0355692000000001</v>
      </c>
      <c r="AC40">
        <v>1.0757432</v>
      </c>
      <c r="AD40">
        <v>-0.46927829999999998</v>
      </c>
      <c r="AE40">
        <v>1.2367674</v>
      </c>
      <c r="AF40">
        <v>1.4191635</v>
      </c>
      <c r="AG40">
        <v>2.8332133000000002</v>
      </c>
      <c r="AH40">
        <v>2.9325597000000001</v>
      </c>
      <c r="AI40">
        <f t="shared" si="5"/>
        <v>2.9044273796310263</v>
      </c>
      <c r="AJ40">
        <f t="shared" si="6"/>
        <v>2.428748424761106</v>
      </c>
      <c r="AK40" t="e">
        <f t="shared" si="7"/>
        <v>#NUM!</v>
      </c>
      <c r="AL40">
        <f t="shared" si="8"/>
        <v>3.5231493901624713</v>
      </c>
      <c r="AM40" s="3">
        <f t="shared" si="9"/>
        <v>2.898769586304053</v>
      </c>
    </row>
    <row r="41" spans="1:39">
      <c r="A41">
        <v>-0.36971696999999998</v>
      </c>
      <c r="B41">
        <v>1.0859605000000001</v>
      </c>
      <c r="C41">
        <v>-1.3799248</v>
      </c>
      <c r="D41">
        <v>0.538327</v>
      </c>
      <c r="E41">
        <v>-0.64578663999999997</v>
      </c>
      <c r="F41">
        <v>0.33567256000000001</v>
      </c>
      <c r="G41">
        <v>0.24379903</v>
      </c>
      <c r="H41">
        <v>1.3719539999999999</v>
      </c>
      <c r="I41">
        <v>-0.11429016</v>
      </c>
      <c r="J41">
        <v>-0.30316411999999998</v>
      </c>
      <c r="K41">
        <v>-0.21555388</v>
      </c>
      <c r="L41">
        <v>0.28183150000000001</v>
      </c>
      <c r="M41">
        <v>-0.66542756999999997</v>
      </c>
      <c r="N41">
        <v>-3.7954014000000001E-2</v>
      </c>
      <c r="O41">
        <v>-0.47566825000000001</v>
      </c>
      <c r="P41">
        <v>-0.38069350000000002</v>
      </c>
      <c r="Q41">
        <v>0.78772633999999997</v>
      </c>
      <c r="R41">
        <v>1.0790660000000001</v>
      </c>
      <c r="S41">
        <v>0.96271974000000005</v>
      </c>
      <c r="T41">
        <v>0.49405919999999998</v>
      </c>
      <c r="U41">
        <v>0.23094010000000001</v>
      </c>
      <c r="V41">
        <v>0.4489108</v>
      </c>
      <c r="W41">
        <v>-0.69038796000000002</v>
      </c>
      <c r="X41">
        <v>1.1736394000000001</v>
      </c>
      <c r="Y41">
        <v>1.6970086</v>
      </c>
      <c r="Z41">
        <v>-1.8995339</v>
      </c>
      <c r="AA41">
        <v>-0.53628653000000004</v>
      </c>
      <c r="AB41">
        <v>-1.0355692000000001</v>
      </c>
      <c r="AC41">
        <v>1.0757432</v>
      </c>
      <c r="AD41">
        <v>-0.70225859999999996</v>
      </c>
      <c r="AE41">
        <v>0.93427634000000004</v>
      </c>
      <c r="AF41">
        <v>1.1541188</v>
      </c>
      <c r="AG41">
        <v>2.7725887</v>
      </c>
      <c r="AH41">
        <v>2.9634770000000001</v>
      </c>
      <c r="AI41">
        <f t="shared" si="5"/>
        <v>2.698270177202136</v>
      </c>
      <c r="AJ41">
        <f t="shared" si="6"/>
        <v>2.4237654079651745</v>
      </c>
      <c r="AK41" t="e">
        <f t="shared" si="7"/>
        <v>#NUM!</v>
      </c>
      <c r="AL41" t="e">
        <f t="shared" si="8"/>
        <v>#NUM!</v>
      </c>
      <c r="AM41" s="3">
        <f t="shared" si="9"/>
        <v>2.7628561454391458</v>
      </c>
    </row>
    <row r="42" spans="1:39">
      <c r="A42">
        <v>-0.36971696999999998</v>
      </c>
      <c r="B42">
        <v>-0.92084379999999999</v>
      </c>
      <c r="C42">
        <v>0.20573424000000001</v>
      </c>
      <c r="D42">
        <v>-1.8576071000000001</v>
      </c>
      <c r="E42">
        <v>-0.64578663999999997</v>
      </c>
      <c r="F42">
        <v>0.33567256000000001</v>
      </c>
      <c r="G42">
        <v>-0.67334970000000005</v>
      </c>
      <c r="H42">
        <v>-1.3894310999999999</v>
      </c>
      <c r="I42">
        <v>-1.7194320000000001</v>
      </c>
      <c r="J42">
        <v>0.85105103000000004</v>
      </c>
      <c r="K42">
        <v>-1.0362169000000001</v>
      </c>
      <c r="L42">
        <v>0.28183150000000001</v>
      </c>
      <c r="M42">
        <v>2.3171979999999999</v>
      </c>
      <c r="N42">
        <v>-3.7954014000000001E-2</v>
      </c>
      <c r="O42">
        <v>-0.47566825000000001</v>
      </c>
      <c r="P42">
        <v>-0.38069350000000002</v>
      </c>
      <c r="Q42">
        <v>-1.2694764000000001</v>
      </c>
      <c r="R42">
        <v>-0.92672730000000003</v>
      </c>
      <c r="S42">
        <v>0.96271974000000005</v>
      </c>
      <c r="T42">
        <v>0.49405919999999998</v>
      </c>
      <c r="U42">
        <v>0.23094010000000001</v>
      </c>
      <c r="V42">
        <v>-2.227614</v>
      </c>
      <c r="W42">
        <v>-0.69038796000000002</v>
      </c>
      <c r="X42">
        <v>-2.1181066</v>
      </c>
      <c r="Y42">
        <v>-2.2101297</v>
      </c>
      <c r="Z42">
        <v>-1.8995339</v>
      </c>
      <c r="AA42">
        <v>-0.53628653000000004</v>
      </c>
      <c r="AB42">
        <v>-1.0355692000000001</v>
      </c>
      <c r="AC42">
        <v>-0.35556144000000001</v>
      </c>
      <c r="AD42">
        <v>-0.46927829999999998</v>
      </c>
      <c r="AE42">
        <v>0.63178520000000005</v>
      </c>
      <c r="AF42">
        <v>9.3939900000000007E-2</v>
      </c>
      <c r="AG42">
        <v>2.4849066999999998</v>
      </c>
      <c r="AH42">
        <v>2.2303232999999998</v>
      </c>
      <c r="AI42">
        <f t="shared" si="5"/>
        <v>2.13430100880062</v>
      </c>
      <c r="AJ42">
        <f t="shared" si="6"/>
        <v>1.9194187730254753</v>
      </c>
      <c r="AK42">
        <f t="shared" si="7"/>
        <v>-0.54730946208749054</v>
      </c>
      <c r="AL42">
        <f t="shared" si="8"/>
        <v>1.3208837437989203</v>
      </c>
      <c r="AM42" s="3">
        <f t="shared" si="9"/>
        <v>2.3195353037918198</v>
      </c>
    </row>
    <row r="43" spans="1:39">
      <c r="A43">
        <v>-0.36971696999999998</v>
      </c>
      <c r="B43">
        <v>-0.92084379999999999</v>
      </c>
      <c r="C43">
        <v>0.99856376999999996</v>
      </c>
      <c r="D43">
        <v>0.538327</v>
      </c>
      <c r="E43">
        <v>-0.64578663999999997</v>
      </c>
      <c r="F43">
        <v>0.33567256000000001</v>
      </c>
      <c r="G43">
        <v>0.24379903</v>
      </c>
      <c r="H43">
        <v>-0.46896939999999998</v>
      </c>
      <c r="I43">
        <v>-0.11429016</v>
      </c>
      <c r="J43">
        <v>0.85105103000000004</v>
      </c>
      <c r="K43">
        <v>0.60510909999999996</v>
      </c>
      <c r="L43">
        <v>0.28183150000000001</v>
      </c>
      <c r="M43">
        <v>-0.66542756999999997</v>
      </c>
      <c r="N43">
        <v>1.1613928</v>
      </c>
      <c r="O43">
        <v>-0.47566825000000001</v>
      </c>
      <c r="P43">
        <v>-0.38069350000000002</v>
      </c>
      <c r="Q43">
        <v>-1.2694764000000001</v>
      </c>
      <c r="R43">
        <v>-0.92672730000000003</v>
      </c>
      <c r="S43">
        <v>-1.038724</v>
      </c>
      <c r="T43">
        <v>0.49405919999999998</v>
      </c>
      <c r="U43">
        <v>0.23094010000000001</v>
      </c>
      <c r="V43">
        <v>0.4489108</v>
      </c>
      <c r="W43">
        <v>1.4484608999999999</v>
      </c>
      <c r="X43">
        <v>1.1736394000000001</v>
      </c>
      <c r="Y43">
        <v>0.72022410000000003</v>
      </c>
      <c r="Z43">
        <v>-0.11836857000000001</v>
      </c>
      <c r="AA43">
        <v>0.62444319999999998</v>
      </c>
      <c r="AB43">
        <v>0.56462573999999999</v>
      </c>
      <c r="AC43">
        <v>-1.7868660999999999</v>
      </c>
      <c r="AD43">
        <v>0.11317238</v>
      </c>
      <c r="AE43">
        <v>0.63178520000000005</v>
      </c>
      <c r="AF43">
        <v>0.62402933999999999</v>
      </c>
      <c r="AG43">
        <v>2.7080503</v>
      </c>
      <c r="AH43">
        <v>2.718534</v>
      </c>
      <c r="AI43" s="3">
        <f t="shared" si="5"/>
        <v>2.5239958263369342</v>
      </c>
      <c r="AJ43">
        <f t="shared" si="6"/>
        <v>2.3503156155470335</v>
      </c>
      <c r="AK43">
        <f t="shared" si="7"/>
        <v>-0.18868965806755048</v>
      </c>
      <c r="AL43">
        <f t="shared" si="8"/>
        <v>3.1704565790495787</v>
      </c>
      <c r="AM43">
        <f t="shared" si="9"/>
        <v>2.3851087317565183</v>
      </c>
    </row>
    <row r="44" spans="1:39">
      <c r="A44">
        <v>2.7047715000000001</v>
      </c>
      <c r="B44">
        <v>1.0859605000000001</v>
      </c>
      <c r="C44">
        <v>1.7913933</v>
      </c>
      <c r="D44">
        <v>-1.8576071000000001</v>
      </c>
      <c r="E44">
        <v>-0.64578663999999997</v>
      </c>
      <c r="F44">
        <v>0.33567256000000001</v>
      </c>
      <c r="G44">
        <v>-1.5904984</v>
      </c>
      <c r="H44">
        <v>-1.3894310999999999</v>
      </c>
      <c r="I44">
        <v>-0.11429016</v>
      </c>
      <c r="J44">
        <v>-0.30316411999999998</v>
      </c>
      <c r="K44">
        <v>-0.21555388</v>
      </c>
      <c r="L44">
        <v>2.1766987000000002</v>
      </c>
      <c r="M44">
        <v>2.3171979999999999</v>
      </c>
      <c r="N44">
        <v>-1.2373008000000001</v>
      </c>
      <c r="O44">
        <v>0.85451907000000005</v>
      </c>
      <c r="P44">
        <v>-0.38069350000000002</v>
      </c>
      <c r="Q44">
        <v>0.78772633999999997</v>
      </c>
      <c r="R44">
        <v>-0.92672730000000003</v>
      </c>
      <c r="S44">
        <v>-1.038724</v>
      </c>
      <c r="T44">
        <v>0.49405919999999998</v>
      </c>
      <c r="U44">
        <v>0.23094010000000001</v>
      </c>
      <c r="V44">
        <v>0.4489108</v>
      </c>
      <c r="W44">
        <v>-0.69038796000000002</v>
      </c>
      <c r="X44">
        <v>7.6390730000000004E-2</v>
      </c>
      <c r="Y44">
        <v>0.72022410000000003</v>
      </c>
      <c r="Z44">
        <v>0.77221406000000004</v>
      </c>
      <c r="AA44">
        <v>1.7851729000000001</v>
      </c>
      <c r="AB44">
        <v>0.56462573999999999</v>
      </c>
      <c r="AC44">
        <v>1.0757432</v>
      </c>
      <c r="AD44">
        <v>-0.23629803999999999</v>
      </c>
      <c r="AE44">
        <v>-0.88067030000000002</v>
      </c>
      <c r="AF44">
        <v>-0.70119419999999999</v>
      </c>
      <c r="AG44">
        <v>2.1972246000000002</v>
      </c>
      <c r="AH44">
        <v>2.1584446000000002</v>
      </c>
      <c r="AI44" s="3">
        <f t="shared" si="5"/>
        <v>2.2280256363450568</v>
      </c>
      <c r="AJ44">
        <f t="shared" si="6"/>
        <v>1.8814993415811974</v>
      </c>
      <c r="AK44" t="e">
        <f t="shared" si="7"/>
        <v>#NUM!</v>
      </c>
      <c r="AL44">
        <f t="shared" si="8"/>
        <v>1.497998498137068</v>
      </c>
      <c r="AM44">
        <f t="shared" si="9"/>
        <v>2.0700125704140699</v>
      </c>
    </row>
    <row r="45" spans="1:39">
      <c r="A45">
        <v>-0.36971696999999998</v>
      </c>
      <c r="B45">
        <v>1.0859605000000001</v>
      </c>
      <c r="C45">
        <v>-1.3799248</v>
      </c>
      <c r="D45">
        <v>-1.8576071000000001</v>
      </c>
      <c r="E45">
        <v>-0.64578663999999997</v>
      </c>
      <c r="F45">
        <v>0.33567256000000001</v>
      </c>
      <c r="G45">
        <v>-0.67334970000000005</v>
      </c>
      <c r="H45">
        <v>0.45149228000000002</v>
      </c>
      <c r="I45">
        <v>-1.7194320000000001</v>
      </c>
      <c r="J45">
        <v>0.85105103000000004</v>
      </c>
      <c r="K45">
        <v>-1.0362169000000001</v>
      </c>
      <c r="L45">
        <v>0.28183150000000001</v>
      </c>
      <c r="M45">
        <v>-0.66542756999999997</v>
      </c>
      <c r="N45">
        <v>-3.7954014000000001E-2</v>
      </c>
      <c r="O45">
        <v>-0.47566825000000001</v>
      </c>
      <c r="P45">
        <v>2.6267849999999999</v>
      </c>
      <c r="Q45">
        <v>-1.2694764000000001</v>
      </c>
      <c r="R45">
        <v>1.0790660000000001</v>
      </c>
      <c r="S45">
        <v>0.96271974000000005</v>
      </c>
      <c r="T45">
        <v>0.49405919999999998</v>
      </c>
      <c r="U45">
        <v>0.23094010000000001</v>
      </c>
      <c r="V45">
        <v>-2.227614</v>
      </c>
      <c r="W45">
        <v>-0.69038796000000002</v>
      </c>
      <c r="X45">
        <v>7.6390730000000004E-2</v>
      </c>
      <c r="Y45">
        <v>0.72022410000000003</v>
      </c>
      <c r="Z45">
        <v>0.77221406000000004</v>
      </c>
      <c r="AA45">
        <v>-0.53628653000000004</v>
      </c>
      <c r="AB45">
        <v>-1.0355692000000001</v>
      </c>
      <c r="AC45">
        <v>-1.7868660999999999</v>
      </c>
      <c r="AD45">
        <v>-0.46927829999999998</v>
      </c>
      <c r="AE45">
        <v>2.6803009999999999E-2</v>
      </c>
      <c r="AF45">
        <v>-0.70119419999999999</v>
      </c>
      <c r="AG45">
        <v>2.1972246000000002</v>
      </c>
      <c r="AH45">
        <v>2.2409794000000001</v>
      </c>
      <c r="AI45">
        <f t="shared" si="5"/>
        <v>1.749065968719818</v>
      </c>
      <c r="AJ45">
        <f t="shared" si="6"/>
        <v>2.3613925822069195</v>
      </c>
      <c r="AK45">
        <f t="shared" si="7"/>
        <v>-0.49710108591165719</v>
      </c>
      <c r="AL45">
        <f t="shared" si="8"/>
        <v>2.0150179444825076</v>
      </c>
      <c r="AM45" s="3">
        <f t="shared" si="9"/>
        <v>2.076176100222197</v>
      </c>
    </row>
    <row r="46" spans="1:39">
      <c r="A46">
        <v>-0.36971696999999998</v>
      </c>
      <c r="B46">
        <v>-0.92084379999999999</v>
      </c>
      <c r="C46">
        <v>0.99856376999999996</v>
      </c>
      <c r="D46">
        <v>0.538327</v>
      </c>
      <c r="E46">
        <v>1.5484990999999999</v>
      </c>
      <c r="F46">
        <v>0.33567256000000001</v>
      </c>
      <c r="G46">
        <v>0.24379903</v>
      </c>
      <c r="H46">
        <v>0.45149228000000002</v>
      </c>
      <c r="I46">
        <v>0.68828076000000005</v>
      </c>
      <c r="J46">
        <v>0.85105103000000004</v>
      </c>
      <c r="K46">
        <v>-0.21555388</v>
      </c>
      <c r="L46">
        <v>0.28183150000000001</v>
      </c>
      <c r="M46">
        <v>-0.66542756999999997</v>
      </c>
      <c r="N46">
        <v>2.3607395000000002</v>
      </c>
      <c r="O46">
        <v>-0.47566825000000001</v>
      </c>
      <c r="P46">
        <v>-0.38069350000000002</v>
      </c>
      <c r="Q46">
        <v>0.78772633999999997</v>
      </c>
      <c r="R46">
        <v>-0.92672730000000003</v>
      </c>
      <c r="S46">
        <v>-1.038724</v>
      </c>
      <c r="T46">
        <v>0.49405919999999998</v>
      </c>
      <c r="U46">
        <v>0.23094010000000001</v>
      </c>
      <c r="V46">
        <v>0.4489108</v>
      </c>
      <c r="W46">
        <v>-0.69038796000000002</v>
      </c>
      <c r="X46">
        <v>1.1736394000000001</v>
      </c>
      <c r="Y46">
        <v>-0.25656050000000002</v>
      </c>
      <c r="Z46">
        <v>-0.11836857000000001</v>
      </c>
      <c r="AA46">
        <v>-0.53628653000000004</v>
      </c>
      <c r="AB46">
        <v>-1.0355692000000001</v>
      </c>
      <c r="AC46">
        <v>-1.7868660999999999</v>
      </c>
      <c r="AD46">
        <v>0.11317238</v>
      </c>
      <c r="AE46">
        <v>1.5392585999999999</v>
      </c>
      <c r="AF46">
        <v>1.1541188</v>
      </c>
      <c r="AG46">
        <v>2.8903718</v>
      </c>
      <c r="AH46">
        <v>3.0142918000000001</v>
      </c>
      <c r="AI46" s="3">
        <f t="shared" si="5"/>
        <v>2.8248655167430305</v>
      </c>
      <c r="AJ46">
        <f t="shared" si="6"/>
        <v>2.3258698781801774</v>
      </c>
      <c r="AK46">
        <f t="shared" si="7"/>
        <v>-0.12748610820863707</v>
      </c>
      <c r="AL46">
        <f t="shared" si="8"/>
        <v>3.3935012444669486</v>
      </c>
      <c r="AM46">
        <f t="shared" si="9"/>
        <v>2.6513330642311281</v>
      </c>
    </row>
    <row r="47" spans="1:39">
      <c r="A47">
        <v>-0.36971696999999998</v>
      </c>
      <c r="B47">
        <v>-0.92084379999999999</v>
      </c>
      <c r="C47">
        <v>-1.3799248</v>
      </c>
      <c r="D47">
        <v>0.538327</v>
      </c>
      <c r="E47">
        <v>1.5484990999999999</v>
      </c>
      <c r="F47">
        <v>0.33567256000000001</v>
      </c>
      <c r="G47">
        <v>-1.5904984</v>
      </c>
      <c r="H47">
        <v>-1.3894310999999999</v>
      </c>
      <c r="I47">
        <v>-1.7194320000000001</v>
      </c>
      <c r="J47">
        <v>-0.30316411999999998</v>
      </c>
      <c r="K47">
        <v>0.60510909999999996</v>
      </c>
      <c r="L47">
        <v>0.28183150000000001</v>
      </c>
      <c r="M47">
        <v>-0.66542756999999997</v>
      </c>
      <c r="N47">
        <v>-3.7954014000000001E-2</v>
      </c>
      <c r="O47">
        <v>3.5148937999999998</v>
      </c>
      <c r="P47">
        <v>2.6267849999999999</v>
      </c>
      <c r="Q47">
        <v>-1.2694764000000001</v>
      </c>
      <c r="R47">
        <v>1.0790660000000001</v>
      </c>
      <c r="S47">
        <v>-1.038724</v>
      </c>
      <c r="T47">
        <v>0.49405919999999998</v>
      </c>
      <c r="U47">
        <v>0.23094010000000001</v>
      </c>
      <c r="V47">
        <v>0.4489108</v>
      </c>
      <c r="W47">
        <v>-0.69038796000000002</v>
      </c>
      <c r="X47">
        <v>7.6390730000000004E-2</v>
      </c>
      <c r="Y47">
        <v>-0.25656050000000002</v>
      </c>
      <c r="Z47">
        <v>-1.0089512</v>
      </c>
      <c r="AA47">
        <v>0.62444319999999998</v>
      </c>
      <c r="AB47">
        <v>0.56462573999999999</v>
      </c>
      <c r="AC47">
        <v>-0.35556144000000001</v>
      </c>
      <c r="AD47">
        <v>0.46264280000000002</v>
      </c>
      <c r="AE47">
        <v>-1.1831613999999999</v>
      </c>
      <c r="AF47">
        <v>-0.70119419999999999</v>
      </c>
      <c r="AG47">
        <v>2.3978953000000001</v>
      </c>
      <c r="AH47">
        <v>2.1115875000000002</v>
      </c>
      <c r="AI47">
        <f t="shared" si="5"/>
        <v>1.8189593985892376</v>
      </c>
      <c r="AJ47" s="3">
        <f t="shared" si="6"/>
        <v>2.3454960966723077</v>
      </c>
      <c r="AK47">
        <f t="shared" si="7"/>
        <v>0.26797883137490841</v>
      </c>
      <c r="AL47">
        <f t="shared" si="8"/>
        <v>1.3077360458247509</v>
      </c>
      <c r="AM47">
        <f t="shared" si="9"/>
        <v>2.1264005213717634</v>
      </c>
    </row>
    <row r="48" spans="1:39">
      <c r="A48">
        <v>-0.36971696999999998</v>
      </c>
      <c r="B48">
        <v>1.0859605000000001</v>
      </c>
      <c r="C48">
        <v>0.20573424000000001</v>
      </c>
      <c r="D48">
        <v>0.538327</v>
      </c>
      <c r="E48">
        <v>-0.64578663999999997</v>
      </c>
      <c r="F48">
        <v>0.33567256000000001</v>
      </c>
      <c r="G48">
        <v>1.1609478</v>
      </c>
      <c r="H48">
        <v>1.3719539999999999</v>
      </c>
      <c r="I48">
        <v>0.68828076000000005</v>
      </c>
      <c r="J48">
        <v>2.0052661999999999</v>
      </c>
      <c r="K48">
        <v>-0.21555388</v>
      </c>
      <c r="L48">
        <v>0.28183150000000001</v>
      </c>
      <c r="M48">
        <v>-0.66542756999999997</v>
      </c>
      <c r="N48">
        <v>-1.2373008000000001</v>
      </c>
      <c r="O48">
        <v>-0.47566825000000001</v>
      </c>
      <c r="P48">
        <v>-0.38069350000000002</v>
      </c>
      <c r="Q48">
        <v>-1.2694764000000001</v>
      </c>
      <c r="R48">
        <v>-0.92672730000000003</v>
      </c>
      <c r="S48">
        <v>-1.038724</v>
      </c>
      <c r="T48">
        <v>0.49405919999999998</v>
      </c>
      <c r="U48">
        <v>0.23094010000000001</v>
      </c>
      <c r="V48">
        <v>0.4489108</v>
      </c>
      <c r="W48">
        <v>-0.69038796000000002</v>
      </c>
      <c r="X48">
        <v>1.1736394000000001</v>
      </c>
      <c r="Y48">
        <v>-1.2333449999999999</v>
      </c>
      <c r="Z48">
        <v>-0.11836857000000001</v>
      </c>
      <c r="AA48">
        <v>-0.53628653000000004</v>
      </c>
      <c r="AB48">
        <v>-0.23547171</v>
      </c>
      <c r="AC48">
        <v>1.0757432</v>
      </c>
      <c r="AD48">
        <v>-0.23629803999999999</v>
      </c>
      <c r="AE48">
        <v>1.8417497</v>
      </c>
      <c r="AF48">
        <v>1.1541188</v>
      </c>
      <c r="AG48">
        <v>2.8332133000000002</v>
      </c>
      <c r="AH48">
        <v>2.8672490000000002</v>
      </c>
      <c r="AI48">
        <f t="shared" si="5"/>
        <v>2.9155773635266917</v>
      </c>
      <c r="AJ48">
        <f t="shared" si="6"/>
        <v>2.6767339607696865</v>
      </c>
      <c r="AK48" t="e">
        <f t="shared" si="7"/>
        <v>#NUM!</v>
      </c>
      <c r="AL48">
        <f t="shared" si="8"/>
        <v>3.5383112753144847</v>
      </c>
      <c r="AM48" s="3">
        <f t="shared" si="9"/>
        <v>2.8789028077968646</v>
      </c>
    </row>
    <row r="49" spans="1:39">
      <c r="A49">
        <v>-0.36971696999999998</v>
      </c>
      <c r="B49">
        <v>-0.92084379999999999</v>
      </c>
      <c r="C49">
        <v>0.99856376999999996</v>
      </c>
      <c r="D49">
        <v>0.538327</v>
      </c>
      <c r="E49">
        <v>1.5484990999999999</v>
      </c>
      <c r="F49">
        <v>0.33567256000000001</v>
      </c>
      <c r="G49">
        <v>1.1609478</v>
      </c>
      <c r="H49">
        <v>0.45149228000000002</v>
      </c>
      <c r="I49">
        <v>-0.11429016</v>
      </c>
      <c r="J49">
        <v>-0.30316411999999998</v>
      </c>
      <c r="K49">
        <v>-0.21555388</v>
      </c>
      <c r="L49">
        <v>2.1766987000000002</v>
      </c>
      <c r="M49">
        <v>0.82588523999999996</v>
      </c>
      <c r="N49">
        <v>-3.7954014000000001E-2</v>
      </c>
      <c r="O49">
        <v>-0.47566825000000001</v>
      </c>
      <c r="P49">
        <v>-0.38069350000000002</v>
      </c>
      <c r="Q49">
        <v>0.78772633999999997</v>
      </c>
      <c r="R49">
        <v>1.0790660000000001</v>
      </c>
      <c r="S49">
        <v>-1.038724</v>
      </c>
      <c r="T49">
        <v>0.49405919999999998</v>
      </c>
      <c r="U49">
        <v>0.23094010000000001</v>
      </c>
      <c r="V49">
        <v>0.4489108</v>
      </c>
      <c r="W49">
        <v>1.4484608999999999</v>
      </c>
      <c r="X49">
        <v>7.6390730000000004E-2</v>
      </c>
      <c r="Y49">
        <v>0.72022410000000003</v>
      </c>
      <c r="Z49">
        <v>1.6627966000000001</v>
      </c>
      <c r="AA49">
        <v>-0.53628653000000004</v>
      </c>
      <c r="AB49">
        <v>-0.23547171</v>
      </c>
      <c r="AC49">
        <v>-1.0712136999999999</v>
      </c>
      <c r="AD49">
        <v>0.46264280000000002</v>
      </c>
      <c r="AE49">
        <v>-0.27568809999999999</v>
      </c>
      <c r="AF49">
        <v>-0.70119419999999999</v>
      </c>
      <c r="AG49">
        <v>2.1972246000000002</v>
      </c>
      <c r="AH49">
        <v>2.0130944</v>
      </c>
      <c r="AI49">
        <f t="shared" si="5"/>
        <v>2.1140006060847538</v>
      </c>
      <c r="AJ49">
        <f t="shared" si="6"/>
        <v>1.9618868210423093</v>
      </c>
      <c r="AK49">
        <f t="shared" si="7"/>
        <v>0.32623173409134054</v>
      </c>
      <c r="AL49">
        <f t="shared" si="8"/>
        <v>1.8983216364964202</v>
      </c>
      <c r="AM49" s="3">
        <f t="shared" si="9"/>
        <v>2.1436956764634245</v>
      </c>
    </row>
    <row r="50" spans="1:39">
      <c r="A50">
        <v>-0.36971696999999998</v>
      </c>
      <c r="B50">
        <v>1.0859605000000001</v>
      </c>
      <c r="C50">
        <v>0.20573424000000001</v>
      </c>
      <c r="D50">
        <v>0.538327</v>
      </c>
      <c r="E50">
        <v>-0.64578663999999997</v>
      </c>
      <c r="F50">
        <v>0.33567256000000001</v>
      </c>
      <c r="G50">
        <v>-1.5904984</v>
      </c>
      <c r="H50">
        <v>-1.3894310999999999</v>
      </c>
      <c r="I50">
        <v>-0.11429016</v>
      </c>
      <c r="J50">
        <v>-0.30316411999999998</v>
      </c>
      <c r="K50">
        <v>1.4257721000000001</v>
      </c>
      <c r="L50">
        <v>-1.6130357</v>
      </c>
      <c r="M50">
        <v>-0.66542756999999997</v>
      </c>
      <c r="N50">
        <v>-3.7954014000000001E-2</v>
      </c>
      <c r="O50">
        <v>-0.47566825000000001</v>
      </c>
      <c r="P50">
        <v>-0.38069350000000002</v>
      </c>
      <c r="Q50">
        <v>-1.2694764000000001</v>
      </c>
      <c r="R50">
        <v>1.0790660000000001</v>
      </c>
      <c r="S50">
        <v>-1.038724</v>
      </c>
      <c r="T50">
        <v>-2.0240490000000002</v>
      </c>
      <c r="U50">
        <v>0.23094010000000001</v>
      </c>
      <c r="V50">
        <v>0.4489108</v>
      </c>
      <c r="W50">
        <v>-0.69038796000000002</v>
      </c>
      <c r="X50">
        <v>7.6390730000000004E-2</v>
      </c>
      <c r="Y50">
        <v>-0.25656050000000002</v>
      </c>
      <c r="Z50">
        <v>-0.11836857000000001</v>
      </c>
      <c r="AA50">
        <v>-0.53628653000000004</v>
      </c>
      <c r="AB50">
        <v>-0.23547171</v>
      </c>
      <c r="AC50">
        <v>0.36009088</v>
      </c>
      <c r="AD50">
        <v>-0.46927829999999998</v>
      </c>
      <c r="AE50">
        <v>0.32929412000000002</v>
      </c>
      <c r="AF50">
        <v>-0.17110481999999999</v>
      </c>
      <c r="AG50">
        <v>2.4849066999999998</v>
      </c>
      <c r="AH50">
        <v>2.2034774000000001</v>
      </c>
      <c r="AI50">
        <f t="shared" si="5"/>
        <v>2.2442588688252858</v>
      </c>
      <c r="AJ50" s="3">
        <f t="shared" si="6"/>
        <v>2.369966545185874</v>
      </c>
      <c r="AK50">
        <f t="shared" si="7"/>
        <v>0.46696092230006253</v>
      </c>
      <c r="AL50">
        <f t="shared" si="8"/>
        <v>3.0904301137804127</v>
      </c>
      <c r="AM50">
        <f t="shared" si="9"/>
        <v>2.3314203886769125</v>
      </c>
    </row>
    <row r="51" spans="1:39">
      <c r="A51">
        <v>-0.36971696999999998</v>
      </c>
      <c r="B51">
        <v>-0.92084379999999999</v>
      </c>
      <c r="C51">
        <v>0.20573424000000001</v>
      </c>
      <c r="D51">
        <v>0.538327</v>
      </c>
      <c r="E51">
        <v>1.5484990999999999</v>
      </c>
      <c r="F51">
        <v>0.33567256000000001</v>
      </c>
      <c r="G51">
        <v>-0.67334970000000005</v>
      </c>
      <c r="H51">
        <v>1.3719539999999999</v>
      </c>
      <c r="I51">
        <v>0.68828076000000005</v>
      </c>
      <c r="J51">
        <v>0.85105103000000004</v>
      </c>
      <c r="K51">
        <v>-1.0362169000000001</v>
      </c>
      <c r="L51">
        <v>-1.6130357</v>
      </c>
      <c r="M51">
        <v>-0.66542756999999997</v>
      </c>
      <c r="N51">
        <v>-3.7954014000000001E-2</v>
      </c>
      <c r="O51">
        <v>-0.47566825000000001</v>
      </c>
      <c r="P51">
        <v>-0.38069350000000002</v>
      </c>
      <c r="Q51">
        <v>-1.2694764000000001</v>
      </c>
      <c r="R51">
        <v>-0.92672730000000003</v>
      </c>
      <c r="S51">
        <v>0.96271974000000005</v>
      </c>
      <c r="T51">
        <v>0.49405919999999998</v>
      </c>
      <c r="U51">
        <v>0.23094010000000001</v>
      </c>
      <c r="V51">
        <v>0.4489108</v>
      </c>
      <c r="W51">
        <v>1.4484608999999999</v>
      </c>
      <c r="X51">
        <v>7.6390730000000004E-2</v>
      </c>
      <c r="Y51">
        <v>-0.25656050000000002</v>
      </c>
      <c r="Z51">
        <v>-1.0089512</v>
      </c>
      <c r="AA51">
        <v>-0.53628653000000004</v>
      </c>
      <c r="AB51">
        <v>-1.0355692000000001</v>
      </c>
      <c r="AC51">
        <v>1.0757432</v>
      </c>
      <c r="AD51">
        <v>-0.70225859999999996</v>
      </c>
      <c r="AE51">
        <v>0.93427634000000004</v>
      </c>
      <c r="AF51">
        <v>1.1541188</v>
      </c>
      <c r="AG51">
        <v>2.7725887</v>
      </c>
      <c r="AH51">
        <v>2.8177724</v>
      </c>
      <c r="AI51">
        <f t="shared" si="5"/>
        <v>2.454503545791193</v>
      </c>
      <c r="AJ51">
        <f t="shared" si="6"/>
        <v>2.215330444431252</v>
      </c>
      <c r="AK51" t="e">
        <f t="shared" si="7"/>
        <v>#NUM!</v>
      </c>
      <c r="AL51" t="e">
        <f t="shared" si="8"/>
        <v>#NUM!</v>
      </c>
      <c r="AM51" s="3">
        <f t="shared" si="9"/>
        <v>2.5407984979169291</v>
      </c>
    </row>
    <row r="52" spans="1:39">
      <c r="A52">
        <v>-0.36971696999999998</v>
      </c>
      <c r="B52">
        <v>-0.92084379999999999</v>
      </c>
      <c r="C52">
        <v>-1.3799248</v>
      </c>
      <c r="D52">
        <v>0.538327</v>
      </c>
      <c r="E52">
        <v>-0.64578663999999997</v>
      </c>
      <c r="F52">
        <v>0.33567256000000001</v>
      </c>
      <c r="G52">
        <v>0.24379903</v>
      </c>
      <c r="H52">
        <v>-0.46896939999999998</v>
      </c>
      <c r="I52">
        <v>-0.91686106000000001</v>
      </c>
      <c r="J52">
        <v>0.85105103000000004</v>
      </c>
      <c r="K52">
        <v>-0.21555388</v>
      </c>
      <c r="L52">
        <v>-1.6130357</v>
      </c>
      <c r="M52">
        <v>-0.66542756999999997</v>
      </c>
      <c r="N52">
        <v>-3.7954014000000001E-2</v>
      </c>
      <c r="O52">
        <v>3.5148937999999998</v>
      </c>
      <c r="P52">
        <v>-0.38069350000000002</v>
      </c>
      <c r="Q52">
        <v>0.78772633999999997</v>
      </c>
      <c r="R52">
        <v>-0.92672730000000003</v>
      </c>
      <c r="S52">
        <v>-1.038724</v>
      </c>
      <c r="T52">
        <v>0.49405919999999998</v>
      </c>
      <c r="U52">
        <v>0.23094010000000001</v>
      </c>
      <c r="V52">
        <v>0.4489108</v>
      </c>
      <c r="W52">
        <v>-0.69038796000000002</v>
      </c>
      <c r="X52">
        <v>-1.0208579</v>
      </c>
      <c r="Y52">
        <v>-0.25656050000000002</v>
      </c>
      <c r="Z52">
        <v>-1.0089512</v>
      </c>
      <c r="AA52">
        <v>-0.53628653000000004</v>
      </c>
      <c r="AB52">
        <v>-1.0355692000000001</v>
      </c>
      <c r="AC52">
        <v>-0.35556144000000001</v>
      </c>
      <c r="AD52">
        <v>-0.70225859999999996</v>
      </c>
      <c r="AE52">
        <v>-1.4856526000000001</v>
      </c>
      <c r="AF52">
        <v>-0.96623899999999996</v>
      </c>
      <c r="AG52">
        <v>0</v>
      </c>
      <c r="AH52">
        <v>0.94587730000000003</v>
      </c>
      <c r="AI52">
        <f t="shared" si="5"/>
        <v>1.6995317884813321</v>
      </c>
      <c r="AJ52">
        <f t="shared" si="6"/>
        <v>1.9163032122676105</v>
      </c>
      <c r="AK52" s="3">
        <f t="shared" si="7"/>
        <v>-0.55626717449478214</v>
      </c>
      <c r="AL52" t="e">
        <f t="shared" si="8"/>
        <v>#NUM!</v>
      </c>
      <c r="AM52">
        <f t="shared" si="9"/>
        <v>1.7482897028516671</v>
      </c>
    </row>
    <row r="53" spans="1:39">
      <c r="A53">
        <v>-0.36971696999999998</v>
      </c>
      <c r="B53">
        <v>-0.92084379999999999</v>
      </c>
      <c r="C53">
        <v>-1.3799248</v>
      </c>
      <c r="D53">
        <v>-1.8576071000000001</v>
      </c>
      <c r="E53">
        <v>-0.64578663999999997</v>
      </c>
      <c r="F53">
        <v>0.33567256000000001</v>
      </c>
      <c r="G53">
        <v>-1.5904984</v>
      </c>
      <c r="H53">
        <v>-1.3894310999999999</v>
      </c>
      <c r="I53">
        <v>-0.11429016</v>
      </c>
      <c r="J53">
        <v>-0.30316411999999998</v>
      </c>
      <c r="K53">
        <v>1.4257721000000001</v>
      </c>
      <c r="L53">
        <v>0.28183150000000001</v>
      </c>
      <c r="M53">
        <v>-0.66542756999999997</v>
      </c>
      <c r="N53">
        <v>-3.7954014000000001E-2</v>
      </c>
      <c r="O53">
        <v>2.1847064</v>
      </c>
      <c r="P53">
        <v>2.6267849999999999</v>
      </c>
      <c r="Q53">
        <v>0.78772633999999997</v>
      </c>
      <c r="R53">
        <v>-0.92672730000000003</v>
      </c>
      <c r="S53">
        <v>-1.038724</v>
      </c>
      <c r="T53">
        <v>-2.0240490000000002</v>
      </c>
      <c r="U53">
        <v>0.23094010000000001</v>
      </c>
      <c r="V53">
        <v>0.4489108</v>
      </c>
      <c r="W53">
        <v>1.4484608999999999</v>
      </c>
      <c r="X53">
        <v>-1.0208579</v>
      </c>
      <c r="Y53">
        <v>-0.25656050000000002</v>
      </c>
      <c r="Z53">
        <v>0.77221406000000004</v>
      </c>
      <c r="AA53">
        <v>0.62444319999999998</v>
      </c>
      <c r="AB53">
        <v>1.3647232</v>
      </c>
      <c r="AC53">
        <v>1.0757432</v>
      </c>
      <c r="AD53">
        <v>-0.46927829999999998</v>
      </c>
      <c r="AE53">
        <v>-0.88067030000000002</v>
      </c>
      <c r="AF53">
        <v>-1.2312837000000001</v>
      </c>
      <c r="AG53">
        <v>1.7917594999999999</v>
      </c>
      <c r="AH53">
        <v>2.0126301999999998</v>
      </c>
      <c r="AI53">
        <f t="shared" si="5"/>
        <v>2.3009271653613443</v>
      </c>
      <c r="AJ53">
        <f t="shared" si="6"/>
        <v>2.2235694051086559</v>
      </c>
      <c r="AK53" t="e">
        <f t="shared" si="7"/>
        <v>#NUM!</v>
      </c>
      <c r="AL53" s="3">
        <f t="shared" si="8"/>
        <v>1.9118893544039914</v>
      </c>
      <c r="AM53">
        <f t="shared" si="9"/>
        <v>2.0205484691167288</v>
      </c>
    </row>
    <row r="54" spans="1:39">
      <c r="A54">
        <v>-0.36971696999999998</v>
      </c>
      <c r="B54">
        <v>-0.92084379999999999</v>
      </c>
      <c r="C54">
        <v>0.20573424000000001</v>
      </c>
      <c r="D54">
        <v>0.538327</v>
      </c>
      <c r="E54">
        <v>1.5484990999999999</v>
      </c>
      <c r="F54">
        <v>0.33567256000000001</v>
      </c>
      <c r="G54">
        <v>-0.67334970000000005</v>
      </c>
      <c r="H54">
        <v>-0.46896939999999998</v>
      </c>
      <c r="I54">
        <v>0.68828076000000005</v>
      </c>
      <c r="J54">
        <v>-0.30316411999999998</v>
      </c>
      <c r="K54">
        <v>-1.0362169000000001</v>
      </c>
      <c r="L54">
        <v>0.28183150000000001</v>
      </c>
      <c r="M54">
        <v>0.82588523999999996</v>
      </c>
      <c r="N54">
        <v>-3.7954014000000001E-2</v>
      </c>
      <c r="O54">
        <v>-0.47566825000000001</v>
      </c>
      <c r="P54">
        <v>2.6267849999999999</v>
      </c>
      <c r="Q54">
        <v>0.78772633999999997</v>
      </c>
      <c r="R54">
        <v>1.0790660000000001</v>
      </c>
      <c r="S54">
        <v>-1.038724</v>
      </c>
      <c r="T54">
        <v>0.49405919999999998</v>
      </c>
      <c r="U54">
        <v>0.23094010000000001</v>
      </c>
      <c r="V54">
        <v>0.4489108</v>
      </c>
      <c r="W54">
        <v>1.4484608999999999</v>
      </c>
      <c r="X54">
        <v>7.6390730000000004E-2</v>
      </c>
      <c r="Y54">
        <v>0.72022410000000003</v>
      </c>
      <c r="Z54">
        <v>0.77221406000000004</v>
      </c>
      <c r="AA54">
        <v>0.62444319999999998</v>
      </c>
      <c r="AB54">
        <v>0.56462573999999999</v>
      </c>
      <c r="AC54">
        <v>1.0757432</v>
      </c>
      <c r="AD54">
        <v>-3.3177570000000002E-3</v>
      </c>
      <c r="AE54">
        <v>0.32929412000000002</v>
      </c>
      <c r="AF54">
        <v>0.35898461999999998</v>
      </c>
      <c r="AG54">
        <v>2.5649492999999999</v>
      </c>
      <c r="AH54">
        <v>2.5396565999999998</v>
      </c>
      <c r="AI54" s="3">
        <f t="shared" si="5"/>
        <v>2.5408369539651789</v>
      </c>
      <c r="AJ54">
        <f t="shared" si="6"/>
        <v>2.2835332920533262</v>
      </c>
      <c r="AK54" t="e">
        <f t="shared" si="7"/>
        <v>#NUM!</v>
      </c>
      <c r="AL54">
        <f t="shared" si="8"/>
        <v>2.2505087503304035</v>
      </c>
      <c r="AM54">
        <f t="shared" si="9"/>
        <v>2.472787392929126</v>
      </c>
    </row>
    <row r="55" spans="1:39">
      <c r="A55">
        <v>-0.36971696999999998</v>
      </c>
      <c r="B55">
        <v>-0.92084379999999999</v>
      </c>
      <c r="C55">
        <v>-1.3799248</v>
      </c>
      <c r="D55">
        <v>0.538327</v>
      </c>
      <c r="E55">
        <v>-0.64578663999999997</v>
      </c>
      <c r="F55">
        <v>0.33567256000000001</v>
      </c>
      <c r="G55">
        <v>-0.67334970000000005</v>
      </c>
      <c r="H55">
        <v>-1.3894310999999999</v>
      </c>
      <c r="I55">
        <v>0.68828076000000005</v>
      </c>
      <c r="J55">
        <v>-0.30316411999999998</v>
      </c>
      <c r="K55">
        <v>1.4257721000000001</v>
      </c>
      <c r="L55">
        <v>-1.6130357</v>
      </c>
      <c r="M55">
        <v>2.3171979999999999</v>
      </c>
      <c r="N55">
        <v>1.1613928</v>
      </c>
      <c r="O55">
        <v>-0.47566825000000001</v>
      </c>
      <c r="P55">
        <v>-0.38069350000000002</v>
      </c>
      <c r="Q55">
        <v>0.78772633999999997</v>
      </c>
      <c r="R55">
        <v>-0.92672730000000003</v>
      </c>
      <c r="S55">
        <v>0.96271974000000005</v>
      </c>
      <c r="T55">
        <v>0.49405919999999998</v>
      </c>
      <c r="U55">
        <v>0.23094010000000001</v>
      </c>
      <c r="V55">
        <v>0.4489108</v>
      </c>
      <c r="W55">
        <v>-0.69038796000000002</v>
      </c>
      <c r="X55">
        <v>1.1736394000000001</v>
      </c>
      <c r="Y55">
        <v>-1.2333449999999999</v>
      </c>
      <c r="Z55">
        <v>-1.0089512</v>
      </c>
      <c r="AA55">
        <v>-0.53628653000000004</v>
      </c>
      <c r="AB55">
        <v>-1.0355692000000001</v>
      </c>
      <c r="AC55">
        <v>0.36009088</v>
      </c>
      <c r="AD55">
        <v>-0.23629803999999999</v>
      </c>
      <c r="AE55">
        <v>-0.27568809999999999</v>
      </c>
      <c r="AF55">
        <v>0.35898461999999998</v>
      </c>
      <c r="AG55">
        <v>2.5649492999999999</v>
      </c>
      <c r="AH55">
        <v>2.6721729999999999</v>
      </c>
      <c r="AI55" s="3">
        <f t="shared" si="5"/>
        <v>2.5379701042557472</v>
      </c>
      <c r="AJ55">
        <f t="shared" si="6"/>
        <v>1.9090677660219921</v>
      </c>
      <c r="AK55">
        <f t="shared" si="7"/>
        <v>0.43953396919468851</v>
      </c>
      <c r="AL55">
        <f t="shared" si="8"/>
        <v>1.720524547332851</v>
      </c>
      <c r="AM55">
        <f t="shared" si="9"/>
        <v>2.4566046421971235</v>
      </c>
    </row>
    <row r="56" spans="1:39">
      <c r="A56">
        <v>-0.36971696999999998</v>
      </c>
      <c r="B56">
        <v>1.0859605000000001</v>
      </c>
      <c r="C56">
        <v>-0.58709526000000001</v>
      </c>
      <c r="D56">
        <v>-1.8576071000000001</v>
      </c>
      <c r="E56">
        <v>-0.64578663999999997</v>
      </c>
      <c r="F56">
        <v>0.33567256000000001</v>
      </c>
      <c r="G56">
        <v>0.24379903</v>
      </c>
      <c r="H56">
        <v>0.45149228000000002</v>
      </c>
      <c r="I56">
        <v>0.68828076000000005</v>
      </c>
      <c r="J56">
        <v>0.85105103000000004</v>
      </c>
      <c r="K56">
        <v>1.4257721000000001</v>
      </c>
      <c r="L56">
        <v>0.28183150000000001</v>
      </c>
      <c r="M56">
        <v>-0.66542756999999997</v>
      </c>
      <c r="N56">
        <v>-1.2373008000000001</v>
      </c>
      <c r="O56">
        <v>-0.47566825000000001</v>
      </c>
      <c r="P56">
        <v>-0.38069350000000002</v>
      </c>
      <c r="Q56">
        <v>0.78772633999999997</v>
      </c>
      <c r="R56">
        <v>-0.92672730000000003</v>
      </c>
      <c r="S56">
        <v>0.96271974000000005</v>
      </c>
      <c r="T56">
        <v>0.49405919999999998</v>
      </c>
      <c r="U56">
        <v>0.23094010000000001</v>
      </c>
      <c r="V56">
        <v>0.4489108</v>
      </c>
      <c r="W56">
        <v>-0.69038796000000002</v>
      </c>
      <c r="X56">
        <v>7.6390730000000004E-2</v>
      </c>
      <c r="Y56">
        <v>-0.25656050000000002</v>
      </c>
      <c r="Z56">
        <v>-1.0089512</v>
      </c>
      <c r="AA56">
        <v>1.7851729000000001</v>
      </c>
      <c r="AB56">
        <v>1.3647232</v>
      </c>
      <c r="AC56">
        <v>1.0757432</v>
      </c>
      <c r="AD56">
        <v>0.22966252000000001</v>
      </c>
      <c r="AE56">
        <v>-0.88067030000000002</v>
      </c>
      <c r="AF56">
        <v>-0.43614954</v>
      </c>
      <c r="AG56">
        <v>2.3978953000000001</v>
      </c>
      <c r="AH56">
        <v>2.135615</v>
      </c>
      <c r="AI56">
        <f t="shared" si="5"/>
        <v>2.1852048275500691</v>
      </c>
      <c r="AJ56">
        <f t="shared" si="6"/>
        <v>2.0471422198881228</v>
      </c>
      <c r="AK56" t="e">
        <f t="shared" si="7"/>
        <v>#NUM!</v>
      </c>
      <c r="AL56">
        <f t="shared" si="8"/>
        <v>1.5227139647368864</v>
      </c>
      <c r="AM56" s="3">
        <f t="shared" si="9"/>
        <v>2.2855878815943598</v>
      </c>
    </row>
    <row r="57" spans="1:39">
      <c r="A57">
        <v>-0.36971696999999998</v>
      </c>
      <c r="B57">
        <v>-0.92084379999999999</v>
      </c>
      <c r="C57">
        <v>1.7913933</v>
      </c>
      <c r="D57">
        <v>0.538327</v>
      </c>
      <c r="E57">
        <v>-0.64578663999999997</v>
      </c>
      <c r="F57">
        <v>0.33567256000000001</v>
      </c>
      <c r="G57">
        <v>0.24379903</v>
      </c>
      <c r="H57">
        <v>0.45149228000000002</v>
      </c>
      <c r="I57">
        <v>-0.11429016</v>
      </c>
      <c r="J57">
        <v>-0.30316411999999998</v>
      </c>
      <c r="K57">
        <v>1.4257721000000001</v>
      </c>
      <c r="L57">
        <v>2.1766987000000002</v>
      </c>
      <c r="M57">
        <v>-0.66542756999999997</v>
      </c>
      <c r="N57">
        <v>2.3607395000000002</v>
      </c>
      <c r="O57">
        <v>-0.47566825000000001</v>
      </c>
      <c r="P57">
        <v>-0.38069350000000002</v>
      </c>
      <c r="Q57">
        <v>0.78772633999999997</v>
      </c>
      <c r="R57">
        <v>1.0790660000000001</v>
      </c>
      <c r="S57">
        <v>0.96271974000000005</v>
      </c>
      <c r="T57">
        <v>0.49405919999999998</v>
      </c>
      <c r="U57">
        <v>0.23094010000000001</v>
      </c>
      <c r="V57">
        <v>0.4489108</v>
      </c>
      <c r="W57">
        <v>-0.69038796000000002</v>
      </c>
      <c r="X57">
        <v>7.6390730000000004E-2</v>
      </c>
      <c r="Y57">
        <v>-0.25656050000000002</v>
      </c>
      <c r="Z57">
        <v>-0.11836857000000001</v>
      </c>
      <c r="AA57">
        <v>-0.53628653000000004</v>
      </c>
      <c r="AB57">
        <v>-0.23547171</v>
      </c>
      <c r="AC57">
        <v>-0.35556144000000001</v>
      </c>
      <c r="AD57">
        <v>0.46264280000000002</v>
      </c>
      <c r="AE57">
        <v>-0.88067030000000002</v>
      </c>
      <c r="AF57">
        <v>-0.70119419999999999</v>
      </c>
      <c r="AG57">
        <v>2.1972246000000002</v>
      </c>
      <c r="AH57">
        <v>2.2335641000000002</v>
      </c>
      <c r="AI57">
        <f t="shared" si="5"/>
        <v>1.8640197539813339</v>
      </c>
      <c r="AJ57">
        <f t="shared" si="6"/>
        <v>1.8388680575874625</v>
      </c>
      <c r="AK57">
        <f t="shared" si="7"/>
        <v>0.38653268648875283</v>
      </c>
      <c r="AL57">
        <f t="shared" si="8"/>
        <v>2.7523537565678771</v>
      </c>
      <c r="AM57" s="3">
        <f t="shared" si="9"/>
        <v>2.0948167004981628</v>
      </c>
    </row>
    <row r="58" spans="1:39">
      <c r="A58">
        <v>-0.36971696999999998</v>
      </c>
      <c r="B58">
        <v>1.0859605000000001</v>
      </c>
      <c r="C58">
        <v>-1.3799248</v>
      </c>
      <c r="D58">
        <v>-1.8576071000000001</v>
      </c>
      <c r="E58">
        <v>-0.64578663999999997</v>
      </c>
      <c r="F58">
        <v>0.33567256000000001</v>
      </c>
      <c r="G58">
        <v>0.24379903</v>
      </c>
      <c r="H58">
        <v>-0.46896939999999998</v>
      </c>
      <c r="I58">
        <v>-0.11429016</v>
      </c>
      <c r="J58">
        <v>-0.30316411999999998</v>
      </c>
      <c r="K58">
        <v>-1.0362169000000001</v>
      </c>
      <c r="L58">
        <v>0.28183150000000001</v>
      </c>
      <c r="M58">
        <v>0.82588523999999996</v>
      </c>
      <c r="N58">
        <v>-3.7954014000000001E-2</v>
      </c>
      <c r="O58">
        <v>2.1847064</v>
      </c>
      <c r="P58">
        <v>2.6267849999999999</v>
      </c>
      <c r="Q58">
        <v>0.78772633999999997</v>
      </c>
      <c r="R58">
        <v>-0.92672730000000003</v>
      </c>
      <c r="S58">
        <v>-1.038724</v>
      </c>
      <c r="T58">
        <v>0.49405919999999998</v>
      </c>
      <c r="U58">
        <v>0.23094010000000001</v>
      </c>
      <c r="V58">
        <v>0.4489108</v>
      </c>
      <c r="W58">
        <v>1.4484608999999999</v>
      </c>
      <c r="X58">
        <v>7.6390730000000004E-2</v>
      </c>
      <c r="Y58">
        <v>0.72022410000000003</v>
      </c>
      <c r="Z58">
        <v>0.77221406000000004</v>
      </c>
      <c r="AA58">
        <v>-0.53628653000000004</v>
      </c>
      <c r="AB58">
        <v>1.3647232</v>
      </c>
      <c r="AC58">
        <v>-0.35556144000000001</v>
      </c>
      <c r="AD58">
        <v>-3.3177570000000002E-3</v>
      </c>
      <c r="AE58">
        <v>-1.7881435999999999</v>
      </c>
      <c r="AF58">
        <v>-0.43614954</v>
      </c>
      <c r="AG58">
        <v>2.0794415000000002</v>
      </c>
      <c r="AH58">
        <v>1.8127346</v>
      </c>
      <c r="AI58">
        <f t="shared" si="5"/>
        <v>2.1298937042753447</v>
      </c>
      <c r="AJ58" s="3">
        <f t="shared" si="6"/>
        <v>2.0644877288241066</v>
      </c>
      <c r="AK58">
        <f t="shared" si="7"/>
        <v>0.65834512404403867</v>
      </c>
      <c r="AL58">
        <f t="shared" si="8"/>
        <v>1.8412370154126454</v>
      </c>
      <c r="AM58">
        <f t="shared" si="9"/>
        <v>1.9785210094686869</v>
      </c>
    </row>
    <row r="59" spans="1:39">
      <c r="A59">
        <v>-0.36971696999999998</v>
      </c>
      <c r="B59">
        <v>1.0859605000000001</v>
      </c>
      <c r="C59">
        <v>0.20573424000000001</v>
      </c>
      <c r="D59">
        <v>0.538327</v>
      </c>
      <c r="E59">
        <v>1.5484990999999999</v>
      </c>
      <c r="F59">
        <v>0.33567256000000001</v>
      </c>
      <c r="G59">
        <v>1.1609478</v>
      </c>
      <c r="H59">
        <v>1.3719539999999999</v>
      </c>
      <c r="I59">
        <v>0.68828076000000005</v>
      </c>
      <c r="J59">
        <v>-0.30316411999999998</v>
      </c>
      <c r="K59">
        <v>-0.21555388</v>
      </c>
      <c r="L59">
        <v>0.28183150000000001</v>
      </c>
      <c r="M59">
        <v>-0.66542756999999997</v>
      </c>
      <c r="N59">
        <v>-3.7954014000000001E-2</v>
      </c>
      <c r="O59">
        <v>-0.47566825000000001</v>
      </c>
      <c r="P59">
        <v>-0.38069350000000002</v>
      </c>
      <c r="Q59">
        <v>0.78772633999999997</v>
      </c>
      <c r="R59">
        <v>1.0790660000000001</v>
      </c>
      <c r="S59">
        <v>-1.038724</v>
      </c>
      <c r="T59">
        <v>0.49405919999999998</v>
      </c>
      <c r="U59">
        <v>0.23094010000000001</v>
      </c>
      <c r="V59">
        <v>0.4489108</v>
      </c>
      <c r="W59">
        <v>1.4484608999999999</v>
      </c>
      <c r="X59">
        <v>1.1736394000000001</v>
      </c>
      <c r="Y59">
        <v>-0.25656050000000002</v>
      </c>
      <c r="Z59">
        <v>1.6627966000000001</v>
      </c>
      <c r="AA59">
        <v>2.9459026000000001</v>
      </c>
      <c r="AB59">
        <v>2.1648206999999999</v>
      </c>
      <c r="AC59">
        <v>-0.35556144000000001</v>
      </c>
      <c r="AD59">
        <v>0.81211319999999998</v>
      </c>
      <c r="AE59">
        <v>0.32929412000000002</v>
      </c>
      <c r="AF59">
        <v>0.35898461999999998</v>
      </c>
      <c r="AG59">
        <v>2.6390574</v>
      </c>
      <c r="AH59">
        <v>2.0586655</v>
      </c>
      <c r="AI59" s="3">
        <f t="shared" si="5"/>
        <v>2.7051116152630263</v>
      </c>
      <c r="AJ59">
        <f t="shared" si="6"/>
        <v>2.1814518156624874</v>
      </c>
      <c r="AK59">
        <f t="shared" si="7"/>
        <v>0.62342887738213404</v>
      </c>
      <c r="AL59">
        <f t="shared" si="8"/>
        <v>2.1614426239560265</v>
      </c>
      <c r="AM59">
        <f t="shared" si="9"/>
        <v>2.4353053243126115</v>
      </c>
    </row>
    <row r="60" spans="1:39">
      <c r="A60">
        <v>-0.36971696999999998</v>
      </c>
      <c r="B60">
        <v>1.0859605000000001</v>
      </c>
      <c r="C60">
        <v>0.99856376999999996</v>
      </c>
      <c r="D60">
        <v>0.538327</v>
      </c>
      <c r="E60">
        <v>-0.64578663999999997</v>
      </c>
      <c r="F60">
        <v>0.33567256000000001</v>
      </c>
      <c r="G60">
        <v>-0.67334970000000005</v>
      </c>
      <c r="H60">
        <v>-1.3894310999999999</v>
      </c>
      <c r="I60">
        <v>0.68828076000000005</v>
      </c>
      <c r="J60">
        <v>0.85105103000000004</v>
      </c>
      <c r="K60">
        <v>0.60510909999999996</v>
      </c>
      <c r="L60">
        <v>0.28183150000000001</v>
      </c>
      <c r="M60">
        <v>-0.66542756999999997</v>
      </c>
      <c r="N60">
        <v>-1.2373008000000001</v>
      </c>
      <c r="O60">
        <v>0.85451907000000005</v>
      </c>
      <c r="P60">
        <v>-0.38069350000000002</v>
      </c>
      <c r="Q60">
        <v>-1.2694764000000001</v>
      </c>
      <c r="R60">
        <v>-0.92672730000000003</v>
      </c>
      <c r="S60">
        <v>-1.038724</v>
      </c>
      <c r="T60">
        <v>-2.0240490000000002</v>
      </c>
      <c r="U60">
        <v>-4.3301271999999997</v>
      </c>
      <c r="V60">
        <v>0.4489108</v>
      </c>
      <c r="W60">
        <v>-0.69038796000000002</v>
      </c>
      <c r="X60">
        <v>-1.0208579</v>
      </c>
      <c r="Y60">
        <v>-1.2333449999999999</v>
      </c>
      <c r="Z60">
        <v>1.6627966000000001</v>
      </c>
      <c r="AA60">
        <v>0.62444319999999998</v>
      </c>
      <c r="AB60">
        <v>2.1648206999999999</v>
      </c>
      <c r="AC60">
        <v>1.0757432</v>
      </c>
      <c r="AD60">
        <v>-0.23629803999999999</v>
      </c>
      <c r="AE60">
        <v>-1.4856526000000001</v>
      </c>
      <c r="AF60">
        <v>-0.43614954</v>
      </c>
      <c r="AG60">
        <v>2.1972246000000002</v>
      </c>
      <c r="AH60">
        <v>2.6082272999999998</v>
      </c>
      <c r="AI60">
        <f t="shared" si="5"/>
        <v>2.5115709335504084</v>
      </c>
      <c r="AJ60">
        <f t="shared" si="6"/>
        <v>2.2518195429567487</v>
      </c>
      <c r="AK60" t="e">
        <f t="shared" si="7"/>
        <v>#NUM!</v>
      </c>
      <c r="AL60">
        <f t="shared" si="8"/>
        <v>1.7666592126894347</v>
      </c>
      <c r="AM60" s="3">
        <f t="shared" si="9"/>
        <v>2.2464808627823025</v>
      </c>
    </row>
    <row r="61" spans="1:39">
      <c r="A61">
        <v>-0.36971696999999998</v>
      </c>
      <c r="B61">
        <v>-0.92084379999999999</v>
      </c>
      <c r="C61">
        <v>-1.3799248</v>
      </c>
      <c r="D61">
        <v>0.538327</v>
      </c>
      <c r="E61">
        <v>-0.64578663999999997</v>
      </c>
      <c r="F61">
        <v>0.33567256000000001</v>
      </c>
      <c r="G61">
        <v>1.1609478</v>
      </c>
      <c r="H61">
        <v>1.3719539999999999</v>
      </c>
      <c r="I61">
        <v>0.68828076000000005</v>
      </c>
      <c r="J61">
        <v>-2.6115944</v>
      </c>
      <c r="K61">
        <v>-1.0362169000000001</v>
      </c>
      <c r="L61">
        <v>0.28183150000000001</v>
      </c>
      <c r="M61">
        <v>-0.66542756999999997</v>
      </c>
      <c r="N61">
        <v>1.1613928</v>
      </c>
      <c r="O61">
        <v>-0.47566825000000001</v>
      </c>
      <c r="P61">
        <v>-0.38069350000000002</v>
      </c>
      <c r="Q61">
        <v>0.78772633999999997</v>
      </c>
      <c r="R61">
        <v>-0.92672730000000003</v>
      </c>
      <c r="S61">
        <v>0.96271974000000005</v>
      </c>
      <c r="T61">
        <v>0.49405919999999998</v>
      </c>
      <c r="U61">
        <v>0.23094010000000001</v>
      </c>
      <c r="V61">
        <v>0.4489108</v>
      </c>
      <c r="W61">
        <v>1.4484608999999999</v>
      </c>
      <c r="X61">
        <v>7.6390730000000004E-2</v>
      </c>
      <c r="Y61">
        <v>-0.25656050000000002</v>
      </c>
      <c r="Z61">
        <v>-0.11836857000000001</v>
      </c>
      <c r="AA61">
        <v>-0.53628653000000004</v>
      </c>
      <c r="AB61">
        <v>-1.0355692000000001</v>
      </c>
      <c r="AC61">
        <v>1.0757432</v>
      </c>
      <c r="AD61">
        <v>-0.70225859999999996</v>
      </c>
      <c r="AE61">
        <v>2.6803009999999999E-2</v>
      </c>
      <c r="AF61">
        <v>-2.8215520000000001</v>
      </c>
      <c r="AG61">
        <v>0</v>
      </c>
      <c r="AH61">
        <v>2.0439126000000001</v>
      </c>
      <c r="AI61">
        <f t="shared" si="5"/>
        <v>1.704919560705199</v>
      </c>
      <c r="AJ61" s="3">
        <f t="shared" si="6"/>
        <v>1.6370208048435859</v>
      </c>
      <c r="AK61" t="e">
        <f t="shared" si="7"/>
        <v>#NUM!</v>
      </c>
      <c r="AL61" t="e">
        <f t="shared" si="8"/>
        <v>#NUM!</v>
      </c>
      <c r="AM61">
        <f t="shared" si="9"/>
        <v>1.862866999205772</v>
      </c>
    </row>
    <row r="62" spans="1:39">
      <c r="A62">
        <v>-0.36971696999999998</v>
      </c>
      <c r="B62">
        <v>-0.92084379999999999</v>
      </c>
      <c r="C62">
        <v>-1.3799248</v>
      </c>
      <c r="D62">
        <v>0.538327</v>
      </c>
      <c r="E62">
        <v>-0.64578663999999997</v>
      </c>
      <c r="F62">
        <v>-2.9790937999999998</v>
      </c>
      <c r="G62">
        <v>0.24379903</v>
      </c>
      <c r="H62">
        <v>0.45149228000000002</v>
      </c>
      <c r="I62">
        <v>-0.11429016</v>
      </c>
      <c r="J62">
        <v>-1.4573792999999999</v>
      </c>
      <c r="K62">
        <v>1.4257721000000001</v>
      </c>
      <c r="L62">
        <v>-1.6130357</v>
      </c>
      <c r="M62">
        <v>-0.66542756999999997</v>
      </c>
      <c r="N62">
        <v>2.3607395000000002</v>
      </c>
      <c r="O62">
        <v>-0.47566825000000001</v>
      </c>
      <c r="P62">
        <v>2.6267849999999999</v>
      </c>
      <c r="Q62">
        <v>-1.2694764000000001</v>
      </c>
      <c r="R62">
        <v>-0.92672730000000003</v>
      </c>
      <c r="S62">
        <v>-1.038724</v>
      </c>
      <c r="T62">
        <v>0.49405919999999998</v>
      </c>
      <c r="U62">
        <v>0.23094010000000001</v>
      </c>
      <c r="V62">
        <v>-2.227614</v>
      </c>
      <c r="W62">
        <v>-0.69038796000000002</v>
      </c>
      <c r="X62">
        <v>7.6390730000000004E-2</v>
      </c>
      <c r="Y62">
        <v>-0.25656050000000002</v>
      </c>
      <c r="Z62">
        <v>-0.11836857000000001</v>
      </c>
      <c r="AA62">
        <v>-0.53628653000000004</v>
      </c>
      <c r="AB62">
        <v>-1.0355692000000001</v>
      </c>
      <c r="AC62">
        <v>0.36009088</v>
      </c>
      <c r="AD62">
        <v>0.46264280000000002</v>
      </c>
      <c r="AE62">
        <v>-0.27568809999999999</v>
      </c>
      <c r="AF62">
        <v>9.3939900000000007E-2</v>
      </c>
      <c r="AG62">
        <v>2.4849066999999998</v>
      </c>
      <c r="AH62">
        <v>2.4364169000000002</v>
      </c>
      <c r="AI62">
        <f t="shared" si="5"/>
        <v>2.4302000680934213</v>
      </c>
      <c r="AJ62">
        <f t="shared" si="6"/>
        <v>2.3229317966911376</v>
      </c>
      <c r="AK62">
        <f t="shared" si="7"/>
        <v>-0.43193428363637665</v>
      </c>
      <c r="AL62">
        <f t="shared" si="8"/>
        <v>3.339140116802811</v>
      </c>
      <c r="AM62" s="3">
        <f t="shared" si="9"/>
        <v>2.4315180090769051</v>
      </c>
    </row>
    <row r="63" spans="1:39">
      <c r="A63">
        <v>-0.36971696999999998</v>
      </c>
      <c r="B63">
        <v>-0.92084379999999999</v>
      </c>
      <c r="C63">
        <v>-0.58709526000000001</v>
      </c>
      <c r="D63">
        <v>0.538327</v>
      </c>
      <c r="E63">
        <v>-0.64578663999999997</v>
      </c>
      <c r="F63">
        <v>0.33567256000000001</v>
      </c>
      <c r="G63">
        <v>-0.67334970000000005</v>
      </c>
      <c r="H63">
        <v>-0.46896939999999998</v>
      </c>
      <c r="I63">
        <v>-0.11429016</v>
      </c>
      <c r="J63">
        <v>-0.30316411999999998</v>
      </c>
      <c r="K63">
        <v>1.4257721000000001</v>
      </c>
      <c r="L63">
        <v>0.28183150000000001</v>
      </c>
      <c r="M63">
        <v>-0.66542756999999997</v>
      </c>
      <c r="N63">
        <v>2.3607395000000002</v>
      </c>
      <c r="O63">
        <v>-0.47566825000000001</v>
      </c>
      <c r="P63">
        <v>-0.38069350000000002</v>
      </c>
      <c r="Q63">
        <v>-1.2694764000000001</v>
      </c>
      <c r="R63">
        <v>1.0790660000000001</v>
      </c>
      <c r="S63">
        <v>-1.038724</v>
      </c>
      <c r="T63">
        <v>0.49405919999999998</v>
      </c>
      <c r="U63">
        <v>0.23094010000000001</v>
      </c>
      <c r="V63">
        <v>0.4489108</v>
      </c>
      <c r="W63">
        <v>1.4484608999999999</v>
      </c>
      <c r="X63">
        <v>1.1736394000000001</v>
      </c>
      <c r="Y63">
        <v>-1.2333449999999999</v>
      </c>
      <c r="Z63">
        <v>-0.11836857000000001</v>
      </c>
      <c r="AA63">
        <v>-0.53628653000000004</v>
      </c>
      <c r="AB63">
        <v>0.56462573999999999</v>
      </c>
      <c r="AC63">
        <v>-0.35556144000000001</v>
      </c>
      <c r="AD63">
        <v>-0.70225859999999996</v>
      </c>
      <c r="AE63">
        <v>2.6803009999999999E-2</v>
      </c>
      <c r="AF63">
        <v>9.3939900000000007E-2</v>
      </c>
      <c r="AG63">
        <v>2.4849066999999998</v>
      </c>
      <c r="AH63">
        <v>2.0957569999999999</v>
      </c>
      <c r="AI63" s="3">
        <f t="shared" si="5"/>
        <v>2.2361628018948543</v>
      </c>
      <c r="AJ63">
        <f t="shared" si="6"/>
        <v>2.1199517079851455</v>
      </c>
      <c r="AK63">
        <f t="shared" si="7"/>
        <v>0.5706314558071649</v>
      </c>
      <c r="AL63" t="e">
        <f t="shared" si="8"/>
        <v>#NUM!</v>
      </c>
      <c r="AM63">
        <f t="shared" si="9"/>
        <v>2.1123840755453158</v>
      </c>
    </row>
    <row r="64" spans="1:39">
      <c r="A64">
        <v>-0.36971696999999998</v>
      </c>
      <c r="B64">
        <v>1.0859605000000001</v>
      </c>
      <c r="C64">
        <v>0.20573424000000001</v>
      </c>
      <c r="D64">
        <v>0.538327</v>
      </c>
      <c r="E64">
        <v>-0.64578663999999997</v>
      </c>
      <c r="F64">
        <v>0.33567256000000001</v>
      </c>
      <c r="G64">
        <v>-1.5904984</v>
      </c>
      <c r="H64">
        <v>-0.46896939999999998</v>
      </c>
      <c r="I64">
        <v>-1.7194320000000001</v>
      </c>
      <c r="J64">
        <v>0.85105103000000004</v>
      </c>
      <c r="K64">
        <v>0.60510909999999996</v>
      </c>
      <c r="L64">
        <v>2.1766987000000002</v>
      </c>
      <c r="M64">
        <v>0.82588523999999996</v>
      </c>
      <c r="N64">
        <v>-3.7954014000000001E-2</v>
      </c>
      <c r="O64">
        <v>-0.47566825000000001</v>
      </c>
      <c r="P64">
        <v>-0.38069350000000002</v>
      </c>
      <c r="Q64">
        <v>-1.2694764000000001</v>
      </c>
      <c r="R64">
        <v>1.0790660000000001</v>
      </c>
      <c r="S64">
        <v>0.96271974000000005</v>
      </c>
      <c r="T64">
        <v>-2.0240490000000002</v>
      </c>
      <c r="U64">
        <v>0.23094010000000001</v>
      </c>
      <c r="V64">
        <v>0.4489108</v>
      </c>
      <c r="W64">
        <v>-0.69038796000000002</v>
      </c>
      <c r="X64">
        <v>7.6390730000000004E-2</v>
      </c>
      <c r="Y64">
        <v>0.72022410000000003</v>
      </c>
      <c r="Z64">
        <v>0.77221406000000004</v>
      </c>
      <c r="AA64">
        <v>2.9459026000000001</v>
      </c>
      <c r="AB64">
        <v>2.1648206999999999</v>
      </c>
      <c r="AC64">
        <v>1.0757432</v>
      </c>
      <c r="AD64">
        <v>0.69562310000000005</v>
      </c>
      <c r="AE64">
        <v>-1.1831613999999999</v>
      </c>
      <c r="AF64">
        <v>-0.70119419999999999</v>
      </c>
      <c r="AG64">
        <v>2.1972246000000002</v>
      </c>
      <c r="AH64">
        <v>1.9625591</v>
      </c>
      <c r="AI64">
        <f t="shared" si="5"/>
        <v>2.0729602025236509</v>
      </c>
      <c r="AJ64">
        <f t="shared" si="6"/>
        <v>1.9822819276362404</v>
      </c>
      <c r="AK64" t="e">
        <f t="shared" si="7"/>
        <v>#NUM!</v>
      </c>
      <c r="AL64">
        <f t="shared" si="8"/>
        <v>1.5700441048878779</v>
      </c>
      <c r="AM64" s="3">
        <f t="shared" si="9"/>
        <v>2.1025958063541426</v>
      </c>
    </row>
    <row r="65" spans="1:39">
      <c r="A65">
        <v>-0.36971696999999998</v>
      </c>
      <c r="B65">
        <v>-0.92084379999999999</v>
      </c>
      <c r="C65">
        <v>0.99856376999999996</v>
      </c>
      <c r="D65">
        <v>0.538327</v>
      </c>
      <c r="E65">
        <v>1.5484990999999999</v>
      </c>
      <c r="F65">
        <v>0.33567256000000001</v>
      </c>
      <c r="G65">
        <v>-0.67334970000000005</v>
      </c>
      <c r="H65">
        <v>-0.46896939999999998</v>
      </c>
      <c r="I65">
        <v>-0.11429016</v>
      </c>
      <c r="J65">
        <v>-0.30316411999999998</v>
      </c>
      <c r="K65">
        <v>-0.21555388</v>
      </c>
      <c r="L65">
        <v>2.1766987000000002</v>
      </c>
      <c r="M65">
        <v>-0.66542756999999997</v>
      </c>
      <c r="N65">
        <v>-3.7954014000000001E-2</v>
      </c>
      <c r="O65">
        <v>-0.47566825000000001</v>
      </c>
      <c r="P65">
        <v>-0.38069350000000002</v>
      </c>
      <c r="Q65">
        <v>-1.2694764000000001</v>
      </c>
      <c r="R65">
        <v>-0.92672730000000003</v>
      </c>
      <c r="S65">
        <v>0.96271974000000005</v>
      </c>
      <c r="T65">
        <v>-2.0240490000000002</v>
      </c>
      <c r="U65">
        <v>0.23094010000000001</v>
      </c>
      <c r="V65">
        <v>0.4489108</v>
      </c>
      <c r="W65">
        <v>1.4484608999999999</v>
      </c>
      <c r="X65">
        <v>7.6390730000000004E-2</v>
      </c>
      <c r="Y65">
        <v>-0.25656050000000002</v>
      </c>
      <c r="Z65">
        <v>-0.11836857000000001</v>
      </c>
      <c r="AA65">
        <v>-0.53628653000000004</v>
      </c>
      <c r="AB65">
        <v>-1.0355692000000001</v>
      </c>
      <c r="AC65">
        <v>-1.0712136999999999</v>
      </c>
      <c r="AD65">
        <v>-0.70225859999999996</v>
      </c>
      <c r="AE65">
        <v>-0.88067030000000002</v>
      </c>
      <c r="AF65">
        <v>-0.70119419999999999</v>
      </c>
      <c r="AG65">
        <v>0</v>
      </c>
      <c r="AH65">
        <v>0.45545352</v>
      </c>
      <c r="AI65">
        <f t="shared" si="5"/>
        <v>1.7984996166381939</v>
      </c>
      <c r="AJ65">
        <f t="shared" si="6"/>
        <v>1.6960800392016027</v>
      </c>
      <c r="AK65" s="3">
        <f t="shared" si="7"/>
        <v>4.6615939032771513E-3</v>
      </c>
      <c r="AL65" t="e">
        <f t="shared" si="8"/>
        <v>#NUM!</v>
      </c>
      <c r="AM65">
        <f t="shared" si="9"/>
        <v>1.8134906706629668</v>
      </c>
    </row>
    <row r="66" spans="1:39">
      <c r="A66">
        <v>-0.36971696999999998</v>
      </c>
      <c r="B66">
        <v>1.0859605000000001</v>
      </c>
      <c r="C66">
        <v>0.20573424000000001</v>
      </c>
      <c r="D66">
        <v>0.538327</v>
      </c>
      <c r="E66">
        <v>-0.64578663999999997</v>
      </c>
      <c r="F66">
        <v>0.33567256000000001</v>
      </c>
      <c r="G66">
        <v>-0.67334970000000005</v>
      </c>
      <c r="H66">
        <v>0.45149228000000002</v>
      </c>
      <c r="I66">
        <v>-0.11429016</v>
      </c>
      <c r="J66">
        <v>-0.30316411999999998</v>
      </c>
      <c r="K66">
        <v>-1.0362169000000001</v>
      </c>
      <c r="L66">
        <v>-1.6130357</v>
      </c>
      <c r="M66">
        <v>0.82588523999999996</v>
      </c>
      <c r="N66">
        <v>-1.2373008000000001</v>
      </c>
      <c r="O66">
        <v>-0.47566825000000001</v>
      </c>
      <c r="P66">
        <v>-0.38069350000000002</v>
      </c>
      <c r="Q66">
        <v>-1.2694764000000001</v>
      </c>
      <c r="R66">
        <v>-0.92672730000000003</v>
      </c>
      <c r="S66">
        <v>-1.038724</v>
      </c>
      <c r="T66">
        <v>0.49405919999999998</v>
      </c>
      <c r="U66">
        <v>0.23094010000000001</v>
      </c>
      <c r="V66">
        <v>0.4489108</v>
      </c>
      <c r="W66">
        <v>-0.69038796000000002</v>
      </c>
      <c r="X66">
        <v>1.1736394000000001</v>
      </c>
      <c r="Y66">
        <v>-1.2333449999999999</v>
      </c>
      <c r="Z66">
        <v>-1.0089512</v>
      </c>
      <c r="AA66">
        <v>-0.53628653000000004</v>
      </c>
      <c r="AB66">
        <v>-1.0355692000000001</v>
      </c>
      <c r="AC66">
        <v>-1.0712136999999999</v>
      </c>
      <c r="AD66">
        <v>-0.23629803999999999</v>
      </c>
      <c r="AE66">
        <v>0.32929412000000002</v>
      </c>
      <c r="AF66">
        <v>0.35898461999999998</v>
      </c>
      <c r="AG66">
        <v>2.6390574</v>
      </c>
      <c r="AH66">
        <v>2.5698241999999998</v>
      </c>
      <c r="AI66" s="3">
        <f t="shared" ref="AI66:AI80" si="10" xml:space="preserve"> 0.0159*A66 - 0.0105*J66 + 0.0013*K66 + 0.0217*O66 + 0.0245*P66 + 0.0216*Q66 - 0.0096*R66 - 0.0537*S66 - 0.0204*B66 - 0.0101*T66 - 0.008*U66 + 0.0067*V66 - 0.0285*W66 + 0.0114*X66 + 0.0004*Y66 + 0.0191*Z66 - 0.0037*AA66 - 0.0008*AB66 + 0.0614*AC66 - 0.0618*C66 + 0.1007*AD66 + 0.0536*AE66 + 0.0767*AF66 - 0.0061*D66 + 0.0125*E66 + 0.0078*F66 + 0.0013*I66 - 0.0046*(-L66 - 0.6204)^2 - 0.0001*(-L66 - 0.5761)^2 + 0.0138*(-L66 - 0.3339)^2 - 0.0019*(-0.8817*L66 - 1)^2 + 0.0012*(-0.565*N66 - 1)^2 + 0.0061*SQRT(O66 + 0.6503) - 0.0019*(-G66 - 0.9835)^2 - 0.0006*EXP(0.9686*J66) - 0.0002*EXP(3.6063*I66) - 0.3496*EXP(0.024*A66 - 0.017*J66 - 0.0221*Q66 + 0.011*R66 - 0.0018*S66 + 0.0415*B66 - 0.0107*T66 + 0.0472*U66 - 0.0267*V66 - 0.0199*W66 - 0.0193*Y66 + 0.0103*Z66 - 0.0021*AC66 + 0.0843*AD66 - 0.1335*AE66 - 0.0307*D66 + 0.0214*E66 - 0.0027*F66 - 0.0102*G66 - 0.0448*I66 - 0.0391*(0.2922 - M66)^2 - 0.2317*(-0.1484*L66 - 1)^2 - 0.0705*SIN(2.9295*K66 + 8.9969) - 0.2731*SIN(3.6118*N66 + 1.3717) - 0.2553*SIN(8.3905*O66 + 0.5993) + 0.0792*SIN(8.0194*X66 - 5.3792) - 0.4156*SIN(4.9622*AA66 - 1.5814) - 0.3407*SIN(7.0398*AB66 + 6.4012) - 0.1278*SIN(8.8108*C66 - 2.3698) + 1.2712*SIN(0.6319*AF66 + 9.0186) - 0.1015*SIN(1.1983*H66 - 9.0053) + 0.0007*EXP(-3.4345*P66)) - 0.0033*SIN(4.1586*K66 - 9.3343) + 0.0009*SIN(9.1776*K66 + 9.5928) + 0.0135*SIN(9.805*K66 + 7.2038) - 0.0022*SIN(0.8*M66 - 9.9999) - 0.0088*SIN(3.5982*M66 - 5.395) - 0.0519*SIN(4.9856*M66 - 4.3637) - 0.041*SIN(7.7498*M66 - 8.9534) + 0.0104*SIN(0.8143*N66 - 9.2128) - 0.0835*SIN(5.804*N66 - 0.8051) - 0.1136*SIN(8.8014*N66 + 1.8034) + 0.0083*SIN(8.8162*O66 + 6.0024) - 0.0125*SIN(7.8403*X66 - 5.1898) - 0.0273*SIN(4.3632*Y66 - 3.599) - 0.0009*SIN(2.6208*Z66 + 5.605) - 0.0668*SIN(0.7881*AA66 + 0.9987) + 0.0039*SIN(5.9578*AA66 + 4.623) - 0.0292*SIN(9.1993*AB66 - 3.1862) - 0.0053*SIN(8.6105*C66 - 2.1704) + 0.0027*SIN(1.127*AE66 + 6.4227) + 0.0171*SIN(0.6208*AF66 + 5.8126) + 0.0031*SIN(5.2015*G66 - 7.7918) + 0.0407*SIN(8.9532*G66 - 1.5879) - 0.034*SIN(3.7601*H66 - 8.5243) - 0.0043*SIN(7.9286*H66 + 5.5516) - 0.0108*SIN(8.3394*H66 - 2.568) + 0.0096*TAN(3.38*O66 - 3.217) + 0.0002*TAN(3.5883*X66 + 1.395) - 0.0033*TAN(2.0105*Y66 - 8.796) + 0.0026*TAN(5.585*AB66 - 9.5975) + 0.001*TAN(5.596*AC66 - 4.3938) + 0.0009*TAN(9.5893*G66 - 0.3922) - 0*TAN(8.1589*H66 - 9.2447) - 0.0007*TAN(4.7924*I66 - 1.9776) + 0.0387*TANH(5.9622*AD66 + 2.8034) + 2.5848</f>
        <v>2.4239354301518921</v>
      </c>
      <c r="AJ66">
        <f t="shared" ref="AJ66:AJ80" si="11" xml:space="preserve">  0.0554*A66 + 0.0295*J66 - 0.0016*K66 - 0.0318*O66 + 0.0423*P66 - 0.0207*Q66 + 0.0214*R66 - 0.0407*S66 + 0.0457*B66 + 0.0114*T66 + 0.0105*U66 - 0.0132*V66 - 0.0309*W66 - 0.0039*X66 + 0.0241*Y66 + 0.0389*Z66 - 0.03*AA66 + 0.0188*AB66 - 0.0005*AC66 - 0.0247*C66 + 0.081*AD66 + 0.0889*AE66 + 0.1114*AF66 + 0.0156*D66 + 0.0154*E66 - 0.0009*F66 - 0.0044*G66 - 0.0022*I66 - 0.0266*(0.2068 - L66)^2 + 0.0029*(0.8119 - L66)^2 + 0.0026*(1 - 0.9069*L66)^2 + 0.0125*(-L66 - 0.8517)^2 - 0.0045*(-L66 - 0.7545)^2 - 0.0006*(-L66 - 0.717)^2 + 0.0015*(-L66 - 0.5749)^2 + 0.0016*(-0.518*L66 - 1)^2 - 0.0009*(-0.7696*X66 - 1)^2 + 0.0015*(-0.5299*X66 - 1)^2 + 0.0019*(-0.8625*G66 - 1)^2 + 0.0097*EXP(0.9399*K66) + 0.002*EXP(1.7085*K66) - 0.0013*EXP(1.1382*L66) - 0.0036*EXP(1.1178*X66) + 0.0043*EXP(1.4245*G66) + 0.0032*EXP(1.667*G66) - 0.0251*LN(6.8506 - 5.2784*AC66) - 0.0003*SIN(1.4059*J66 + 5.2119) + 0.0018*SIN(2.0013*J66 + 8.5958) - 0.0043*SIN(4.7949*J66 - 8.1826) - 0.0147*SIN(9.0108*J66 + 4.3782) - 0.0045*SIN(1.8196*K66 + 8.5972) - 0.0018*SIN(2.741*K66 - 7.1617) - 0.0223*SIN(5.3619*K66 + 8.5934) + 0.0105*SIN(6.9102*K66 - 9.5643) - 0.0276*SIN(9.1936*K66 - 2.3931999206543) + 0.008*SIN(3.6169*M66 - 8.3966) + 0.0216*SIN(7.7648*M66 + 0.817) - 0.1315*SIN(7.9222*M66 - 9.1472) + 0.0349*SIN(7.9528*M66 + 0.4212) + 0.0145*SIN(7.9714*M66 + 6.6069) + 0.0773*SIN(8.0055*M66 + 3.5926) - 0.0156*SIN(8.1752*M66 + 6.5734) - 0.0144*SIN(9.1757*M66 + 1.2237) + 0.0469*SIN(9.1974*M66 + 7.2098) - 0.1191*SIN(0.3696*N66 + 1.0414) - 0.0065*SIN(0.7924*N66 + 2.5872) + 0.018*SIN(1.6148*N66 - 4.3907) - 0.24*SIN(7.8094*N66 + 9.6986) + 0.0126*SIN(8.9713*N66 + 1.1885) - 0.0071*SIN(9.1727*N66 + 7.5982) + 0.0334*SIN(9.7983*N66 + 3.1893) - 0.0269*SIN(0.5938*O66 + 1.8115) - 0.0211*SIN(3.6066*O66 + 1.3711) + 0.0029*SIN(3.7731*O66 - 5.1906) - 0.0143*SIN(5.2137*O66 + 4.5786) - 0.0159*SIN(8.5755*O66 - 6.387) - 0.0064*SIN(8.6104*O66 + 6.3922) + 0.0007*SIN(1.6132*X66 - 1.1866) - 0.0357*SIN(2.6334*X66 + 8.6637) + 0.01*SIN(10*X66 + 7.6) + 0.0267*SIN(0.6298*Y66 + 2.4254) + 0.0143*SIN(3.9449*Y66 - 9.185) + 0.0143*SIN(4.215*Y66 - 0.0068) - 0.0017*SIN(2.5719*Z66 - 4.3922) + 0.0473*SIN(5.1227*AA66 - 8.8148) - 0.0174*SIN(5.1817*AA66 + 3.5906) + 0.0052*SIN(5.9426*AA66 + 8.0374) + 0.0852*SIN(5.9616*AA66 + 4.8153) + 0.0096*SIN(9.7421*AA66 - 4.1558) + 0.0108*SIN(9.918*AA66 + 1.58) - 0.0026*SIN(1.648*AC66 - 9.5724) + 0.0021*SIN(7.0554*AC66 + 3.0087) + 0.008*SIN(9.4829*AC66 + 2.2768) + 0.0356*SIN(9.7796*AC66 + 2.3897) + 0.0396*SIN(0.5813*AE66 - 7.4226) + 0.016*SIN(1.7936*G66 + 3.1916) - 0.009*SIN(5.5818*G66 + 0.799) + 0.0103*SIN(8.9867*G66 - 0.972) + 0.0047*SIN(1.9914*H66 + 2.5906) - 0.0144*SIN(7.5808*H66 - 7.013) + 0.0074*SIN(7.9659*H66 - 0.2063) - 0.0151*SIN(8.5492*H66 - 7.6084) - 0.0024*SIN(8.8094*H66 + 9.0046) + 0.0129*SIN(0.5188*I66 - 7.4581) - 0.0062*SIN(5.0118*I66 + 1.5887) + 0.011*SIN(5.4035*I66 - 7.0002) - 0.0105*SIN(6.5277*I66 + 4.5538) + 0.009*SIN(9.159*I66 - 8.8234) + 0.0269*SIN(9.3478*I66 - 9.2214) - 0.013*SIN(9.5734*I66 + 1.9898) + 0.0148*SIN(-0.0261*A66 + 0.0413*J66 - 0.1294*P66 + 0.058*Q66 + 0.1964*R66 - 0.0366*S66 - 0.0099*B66 + 0.0717*T66 + 0.0384*U66 - 0.0139*V66 - 0.1456*W66 - 0.1114*Y66 + 0.02*Z66 - 0.1007*AB66 - 0.0103*C66 - 0.1018*AD66 + 0.186*AE66 + 0.1251*AF66 + 0.0155*D66 + 0.036*E66 + 0.0317*F66 + 0.0068*(-L66 - 0.5749)^2 - 0.1264*SIN(9.1936*K66 - 2.3931999206543) - 0.602*SIN(7.9222*M66 - 9.1472) + 0.1527*SIN(9.7983*N66 + 3.1893) - 0.0726*SIN(8.5755*O66 - 6.387) + 0.0494*SIN(9.918*AA66 + 1.58) + 0.1629*SIN(9.7796*AC66 + 2.3897) + 0.0731*SIN(1.7936*G66 + 3.1916) - 0.069*SIN(8.5492*H66 - 7.6084) + 0.1231*SIN(9.3478*I66 - 9.2214) + 0.0046*TAN(7.1832*X66 + 5.66) - 1.3108) - 0.0038*TAN(1.5696*J66 + 1.8299) - 0*TAN(5.0982*K66 - 8.845) + 0.0007*TAN(9.326*K66 - 7.6875) + 0.0161*TAN(1.61079978942871*M66 + 5.391) - 0.0003*TAN(4.4*N66 + 9.9985) + 0.0002*TAN(8.7618*N66 - 6.5267) - 0.0087*TAN(9.8005*N66 + 6.5939) + 0.0019*TAN(0.5894*O66 + 2.0044) + 0.0359*TAN(7.413*O66 - 6.8029) - 0.0044*TAN(9.0089*O66 + 8.3906) + 0.001*TAN(7.1832*X66 + 5.66) - 0.0017*TAN(4.3926*Y66 - 2.9996) - 0.0038*TAN(4.2102*Z66 - 8.4078) + 0.0009*TAN(4.781*AA66 - 2.0338) + 0.0019*TAN(6.1579*AB66 + 1.5657) + 0.0002*TAN(2.2243*H66 + 1.5962) + 0.0013*TAN(5.737*H66 + 9.4418) - 0*TAN(7.8188*H66 - 6.3774) + 0.0048*TAN(8.1667*H66 + 9.5738) + 0.0003*TAN(9.21080017089844*H66 - 8.0242) - 0.0072*TAN(2.8083*I66 + 2.3948) - 0.0032*TANH(1.2265*Y66 - 1.097) - 0.0143*TANH(0.9111*Z66 - 0.6862) + 0.001*ABS(5.9999*AA66 + 0.208) + 2.2032 + 0.0003*EXP(-1.3167*L66)</f>
        <v>2.1195773272245506</v>
      </c>
      <c r="AK66">
        <f t="shared" ref="AK66:AK80" si="12">0.0937*A66+0.0086*J66-0.0475*M66+0.0001*N66+0.0679*O66+0.0117*P66+0.0173*Q66-0.0429*R66-0.0985*S66+0.0055*B66-0.0228*T66-0.0091*U66+0.0082*V66-0.031*W66-0.0005*X66+0.007*Y66+0.0207*Z66-0.0023*AA66+0.0052*AB66-0.0265*AC66-0.0146*C66+0.163*AD66+0.0827*AE66+0.0131*AF66-0.033*D66-0.2091*E66-0.0155*F66-0.0036*G66-0.0043*H66+0.0019*I66-0.0014*(0.0354-L66)^2+0.0017*(1-0.8727*K66)^3-0.0025*(1-0.1965*L66)^2+0.0034*(-0.7412*J66-1)^2+0.0003*(-K66-0.8278)^2-0.0135*SQRT(0.6326*K66+1)+0.0099*(-L66-0.8047)^2+0.0002*(-L66-0.7694)^2+0.0005*(-L66-0.6738)^2-0.0024*(-0.9844*L66-1)^2-0.0003*(-0.9329*L66-1)^2-0.001*(-0.9307*L66-1)^2+0.0017*(-0.8379*L66-1)^2-0.0015*(-0.7557*L66-1)^2+0.0005*(-0.7474*L66-1)^2-0.0011*(-0.7065*L66-1)^2-0.0004*(-0.5845*L66-1)^2-0.0031*(-0.5836*L66-1)^2+0.0223*(-0.3126*L66-1)^2-0.047*SQRT(0.5539*O66+1)+0.0042*(-0.9116*G66-1)^2-0.0008*(0.0093*A66-0.006*O66+0.0338*P66-0.0048*Q66+0.0217*R66+0.0289*S66-0.0203*B66+0.014*T66+0.0009*U66-0.012*V66+0.0132*W66-0.0207*Z66+0.0015*C66-0.0058*AD66-0.0219*AE66+0.0089*AF66-0.0396*D66-0.1964*E66-0.0039*(-K66-0.8278)^2+0.0355*(-0.5836*L66-1)^2-0.0555*SIN(7.2184*J66+0.5836)-0.0289*SIN(6.5657*N66-7.0156)-0.0529*SIN(4.1635*Y66-6.3993)+0.0334*SIN(0.4127*AA66-7.7931)+0.0732*SIN(0.8*AB66-10)+0.0366*SIN(6.0121*G66+5.19960021972656)+0.1422*SIN(7.3551*H66+6.1722)+0.3077*SIN(8.2066*I66-9.5966)+0.011*TAN(4.8096*M66+1.7911)+0.0218*TAN(1.6314*AC66+6.1852)-1)^2+0.0028*EXP(1.1099*K66)+0.0111*EXP(0.9182*L66)-0.0005*EXP(1.0058*L66)-0.0029*EXP(1.2426*L66)+0.0015*EXP(1.5088*L66)-0.0002*EXP(0.3023*O66)+0.0231*EXP(1.0676*X66)+0.0034*EXP(1.1502*X66)-0.0001*EXP(4.8351*X66)+0.001*EXP(2.1889*AC66)-0.0004*EXP(4.7526*AC66)+0.0007*EXP(3.0232*G66)-0.0003*LN(2.7834-2.5871*AC66)+0.0005*LN(5.623-5.2271*AC66)-0.0066*LN(7.9556-4.6918*Z66)+0.0292*LN(8.576-7.9718*AC66)-0.0038*LN(9.4409-5.5014*I66)-0.0004*LN(9.6788-7.9076*X66)+0.0017*LN(9.8921-7.8747*X66)+0.0029*LN(1.5942*AB66+1.7944)+0.0028*LN(7.4166*AD66+5.2084)-0.0192*LN(7.5653*AD66+5.3129)-0.0001*LN(8.8766*AD66+6.2574)-0.9766*SIN(1.8174*J66-1.0212)+0.0009*SIN(3.394*J66-7.1947)+0.0179*SIN(3.5838*J66-6.7989)+0.0018*SIN(3.5986*J66+2.5868)-0.0051*SIN(6.2046*J66+3.7921)+0.0936*SIN(7.2039*J66-2.6115)+0.0049*SIN(7.2184*J66+0.5836)+0.0019*SIN(1.8185*K66+5.2116)+0.0104*SIN(2.227*K66+2.4092)-0.018*SIN(4.2146*K66+9.385)+0.0013*SIN(4.4647*K66+6.7516)+0.0387*SIN(5.5753*K66-9.807)+0.0022*SIN(6.0074*K66-0.6062)+0.0039*SIN(6.1878*K66-1.189)-0.0056*SIN(6.3606*K66-3.8148)-0.0059*SIN(6.4004*K66-6.7887)-0.0005*SIN(6.6252*K66-8.4241)-0.0003*SIN(8.7719*K66+3.7933)+0.0124*SIN(9.0226*K66+0.4127)+0.0009*SIN(9.2362*K66+3.6145)+0.0022*SIN(3.4005*M66-7.7978)+0.025*SIN(4.8096*M66-8.1953)+0.0026*SIN(4.9862*M66-4.9866)-0.002*SIN(5.2059*M66+7.3858)+0.0032*SIN(7.1554*M66-6.9487)+0.0025*SIN(8.7527*M66-2.1954)-0.1793*SIN(8.7706*M66+1.6113)+0.0326*SIN(8.7722*M66-1.5754)-0.0031*SIN(8.9652*M66+7.2026)+0.0716*SIN(9.0035*M66-8.1922)-0.0371*SIN(9.1489*M66+6.8178)-0.0001*SIN(9.5797*M66+3.2086)-0.0011*SIN(1.7806*N66+5.0026)+0.0114*SIN(4.1796*N66-5.9866)-0.0043*SIN(4.6181*N66+1.7994)-0.0432*SIN(6*N66+10)+0.001*SIN(6.2081*N66-0.9789)+0.0026*SIN(6.5657*N66-7.0156)-0.0424*SIN(8.5862*N66+2.5969)+0.0006*SIN(9.3975*N66-7.3958)+0.003*SIN(0.4046*O66-4.1864)+0.0106*SIN(0.6013*O66-7.5963)-0.0028*SIN(0.8098*O66-7.9977)+0.0029*SIN(3.3894*O66-4.5885)+0.0615*SIN(4.4031*O66-2.9981)-0.0057*SIN(5.3991*O66-8.59)+0.0022*SIN(8.21640014648438*O66-2.4047)+0.0024*SIN(8.6048*O66-3.2054)-0.0052*SIN(8.618*O66+6.3853)+0.0168*SIN(8.7863*O66+2.8105)+0.0426*SIN(8.813*O66-9.6077)+0.0999*SIN(9.0183*O66+5.5966)-0.0111*SIN(9.8213*O66-2.8076)+0.0164*SIN(9.9998*O66-3)-0.0003*SIN(1.3946*X66-1.4057)-0.0058*SIN(3.5737*X66+1.1755)+0.0025*SIN(4.1824*X66+7.1814)-0.0013*SIN(4.9731*X66+2.3814)-0.0002*SIN(6.4117*X66-4.1851)-0.0322*SIN(10*X66+6.6)+0.0047*SIN(4.1635*Y66-6.3993)-0.0036*SIN(4.2082*Y66-6.4001)-0.005*SIN(4.3626*Y66+8.777)+0.0014*SIN(4.5624*Y66+5.3806)-0.0428*SIN(7.1376*Y66-8.4354)-0.0027*SIN(8.3793*Y66+0.7876)+0.0008*SIN(5.1897*Z66-5.6033)-0.0018*SIN(10*Z66+3.2)-0.0029*SIN(0.4127*AA66-7.7931)+0.0164*SIN(0.623*AA66-1.4113)+0.1082*SIN(4.9031*AA66-8.3542)-0.0126*SIN(5.1511*AA66-5.6266)-0.0789*SIN(5.5818*AA66+2.18239974975586)+0.0136*SIN(5.757*AA66+1.9934)-0.0006*SIN(5.76959991455078*AA66+2.0235)-0.013*SIN(5.9389*AA66-4.784)-0.0136*SIN(5.9578*AA66-7.7705)+0.0334*SIN(6.5373*AA66-5.9675)-0.0007*SIN(6.5398*AA66+3.0609)-0.0122*SIN(9.7421*AA66-4.3664)-0.0065*SIN(0.8*AB66-10)-0.0037*SIN(6.3813*AB66-5.7898)+0.0098*SIN(7.4373*AB66-6.3734)+0.002*SIN(9.1838*AB66+3.7828)+0.0033*SIN(9.5653*AB66-0.2029)+0.0033*SIN(9.5817*AB66+9.4075)-0*SIN(5.2921*AC66-0.1589)-0.0016*SIN(6.2874*AC66-0.8015)+0.0081*SIN(1.213*C66+5.2021)+0.0014*SIN(1.7976*C66-1.8115)+0.0066*SIN(0.5007*AF66+2.3303)-0.0032*SIN(6.0121*G66+5.19960021972656)-0.101*SIN(6.20240020751953*G66+1.7746)+0.0472*SIN(7.6254*G66+3.8222)-0*SIN(8.9894*G66+4.2096)+0.0016*SIN(9.7821*G66+2.3931)+0.0054*SIN(2.0023*H66-6.8078)+0.0014*SIN(3.0821*H66-1.5883)-0.0394*SIN(5.1807*H66+9.5933)+0.0089*SIN(5.1874*H66-0.1949)-0.0053*SIN(5.4017*H66-5.9841)+0.0178*SIN(5.9565*H66-2.611)-0.0125*SIN(7.3551*H66+6.1722)+0.0001*SIN(7.9897*H66+6.408)-0.0067*SIN(8.3601*H66-2.5754)+0.0019*SIN(8.7636*H66+8.9782)+0.0123*SIN(9.0006*H66+8.8021)+0.0626*SIN(9.1392*H66+6.7824)-0.0013*SIN(9.3383*H66+5.8458)-0.0478*SIN(0.8026*I66-7.2046)+0.0136*SIN(6.5775*I66-4.613)-0.0271*SIN(8.2066*I66-9.5966)+0.0079*SIN(8.3558*I66+6.1568)+0.0047*SIN(9.211*I66+6.8086)-0.0005*SIN(10*I66+6)+0.0008*SIN(-0.0345*A66-0.0174*J66+0.0087*P66+0.0889*Q66-0.1745*R66-0.1405*S66+0.0324*B66+0.0424*T66-0.0084*U66-0.0403*V66+0.0854*W66-0.1448*Y66+0.0435*Z66-0.1681*AC66+0.0738*C66-0.1416*AD66-0.0603*AE66+0.0708*AF66+0.0112*D66-0.8901*E66+0.0055*F66+0.0528*G66+0.0046*I66+0.0229*(-0.8379*L66-1)^2+0.0394*LN(1.5942*AB66+1.7944)+0.0522*SIN(6.1878*K66-1.189)+0.0388*SIN(3.3894*O66-4.5885)-0.0787*SIN(3.5737*X66+1.1755)+0.0008*TAN(4.1986*M66-8.192)-0.0031*TAN(9.6038*N66-2.241)+0.0369*ABS(9.5474*AA66+2.437)-9.128+0.0141*EXP(-1.8835*H66))-0.0041*SIN(-0.0212*A66-0.046*O66+0.0142*P66-0.0084*Q66+0.0524*R66+0.0249*S66+0.0262*B66+0.0272*T66+0.0137*U66+0.0262*V66-0.0166*W66+0.0113*Y66-0.0311*Z66+0.0142*AB66-0.0277*C66+0.0824*AE66+0.0943*AF66+0.0254*D66+0.2323*E66+0.0165*F66+0.0088*I66-0.0013*EXP(1.5088*L66)+0.0163*LN(7.5653*AD66+5.3129)+0.8293*SIN(1.8174*J66-1.0212)+0.0153*SIN(4.2146*K66+9.385)+0.1523*SIN(8.7706*M66+1.6113)+0.0273*SIN(10*X66+6.6)+0.0857*SIN(6.20240020751953*G66+1.7746)-0.0104*SIN(9.0006*H66+8.8021)-0.0079*TAN(1.0174*N66+5.356)+0.0123*TAN(7.26399993896484*AC66-9.4214)+0.0148*ABS(5.044*AA66-0.6056)-0.3838)-0.6964*SIN(-0.0197*A66-0.0428*O66+0.0132*P66-0.0078*Q66+0.0488*R66+0.0232*S66+0.0243*B66+0.0253*T66+0.0127*U66+0.0244*V66-0.0155*W66+0.0105*Y66-0.0289*Z66+0.0133*AB66-0.0258*C66+0.0766*AE66+0.0877*AF66+0.0236*D66+0.2161*E66+0.0154*F66+0.0082*I66-0.0012*EXP(1.5088*L66)+0.0152*LN(7.5653*AD66+5.3129)+0.7715*SIN(1.8174*J66-1.0212)+0.0142*SIN(4.2146*K66+9.385)+0.1417*SIN(8.7706*M66+1.6113)+0.0254*SIN(10*X66+6.6)+0.0797*SIN(6.20240020751953*G66+1.7746)-0.0097*SIN(9.0006*H66+8.8021)-0.0074*TAN(1.0174*N66+5.356)+0.0114*TAN(7.26399993896484*AC66-9.4214)+0.0137*ABS(5.044*AA66-0.6056)+9.0089)-0.0283*SIN(-0.0188*A66-0.0408*O66+0.0126*P66-0.0075*Q66+0.0465*R66+0.0221*S66+0.0232*B66+0.0242*T66+0.0121*U66+0.0233*V66-0.0148*W66+0.01*Y66-0.0276*Z66+0.0126*AB66-0.0246*C66+0.0731*AE66+0.0838*AF66+0.0226*D66+0.2062*E66+0.0147*F66+0.0078*I66-0.0011*EXP(1.5088*L66)+0.0145)</f>
        <v>0.59792974888890593</v>
      </c>
      <c r="AL66">
        <f t="shared" ref="AL66:AL80" si="13" xml:space="preserve"> 0.0402*A66 - 0.0081*J66 - 0.0173*N66 + 0.0633*P66 + 0.0235*Q66 + 0.0162*R66 - 0.0551*S66 + 0.007*B66 - 0.0043*T66 - 0.0033*U66 + 0.0156*V66 - 0.02*W66 - 0.0027*X66 + 0.0071*Y66 + 0.0026*Z66 - 0.0304*AA66 - 0.0012*AB66 - 0.0006*AC66 + 0.01*C66 + 0.0222*AD66 + 0.1343*AE66 + 0.0838*AF66 - 0.0054*D66 + 0.0155*E66 + 0.0022*F66 + 0.0225*G66 - 0.0007*I66 + 0.0015*(0.742 - L66)^2 - 0.0154*(1 - 0.3916*L66)^2 - 0.0792*(1 - 0.0569*L66)^2 - 0.0003*(-J66 - 0.9486)^2 - 0.0017*(-L66 - 0.5398)^2 - 0.0008*(-L66 - 0.2579)^2 - 0.0006*(-L66 - 0.1189)^2 + 0.0015*(-0.7159*L66 - 1)^2 - 0.0002*(-0.6291*L66 - 1)^2 - 0.0171*(-0.483*L66 - 1)^2 + 0.0066*SQRT(0.6756*C66 + 1) - 0.0008*(-I66 - 0.4475)^2 - 0.0249*EXP(0.1886*O66) + 0.0002*EXP(2.771*U66) + 0.0038*EXP(1.0842*X66) + 0.0058*EXP(1.7146*X66) + 0.0184*EXP(0.9262*AC66) - 0*EXP(1.1276*I66) + 0.0181*LN(5.2011 - 3.0012*Z66) - 0.017*LN(6.6424*O66 + 7.2291) - 0.0012*LN(4.1458*C66 + 5.721) + 0.0117*LN(7.4178*AD66 + 5.2092) + 0.0027*LN(9.0854*AD66 + 6.4622) - 0.0163*SIN(1.9935*J66 + 7.5862) + 0.0195*SIN(3.03079986572266*J66 + 3.7804) - 0.0082*SIN(5.9574*J66 + 0.7547) - 0.0147*SIN(1.012*K66 - 9.992) + 0.0386*SIN(1.1833*K66 - 1.1992) + 0.0098*SIN(2.4259*K66 + 5.3926) - 0.0127*SIN(2.563*K66 - 7.5815) + 0.0002*SIN(3.1518*K66 + 1.4218) + 0.0502*SIN(5.5872*K66 + 6.0045) - 0.0048*SIN(9.7763*K66 + 1.0013) + 0.0076*SIN(6.9662*M66 - 1.589) + 0.0015*SIN(7.3448*M66 + 1.1954) - 0.1235*SIN(7.5575*M66 - 2.1542) + 0.005*SIN(7.567*M66 - 2.388) - 0.0311*SIN(7.6*M66 + 10) + 0.0019*SIN(9.946*M66 + 7.188) + 0.0016*SIN(0.78*N66 + 6.6171) - 0.0044*SIN(4.0024*N66 - 3.01) + 0.0152*SIN(5.6172*N66 + 9.0205) - 0.001*SIN(0.6112*O66 - 7.3958) + 0.0055*SIN(0.7844*O66 + 4.415) + 0.041*SIN(3.963*O66 - 2.3903) - 0.0192*SIN(8.3862*O66 + 3.5989) + 0.013*SIN(9.0153*O66 - 4.2134) - 0.0798*SIN(9.9999*O66 - 9.4) + 0.0001*SIN(1.2158*X66 + 1.7984) + 0.0131*SIN(2.9463*X66 - 9.5) - 0.0017*SIN(3.0069*X66 + 6.4098) - 0.0014*SIN(3.2216*X66 + 7.04) - 0.003*SIN(4.5947*X66 - 0.9925) - 0.0046*SIN(5.1552*Y66 + 8.9889) + 0.0001*SIN(3.9762*Z66 - 5.8045) + 0.967*SIN(9.4123*Z66 - 3.6014) + 0.0067*SIN(0.6238*AA66 - 1.4155) - 0.0039*SIN(4.5996*AA66 + 7.7992) + 0.0227*SIN(4.7631*AA66 - 4.9857) - 0.1641*SIN(0.5554*AB66 - 4.5998) - 0.0002*SIN(3.3374*AB66 - 4.3125) + 0.0072*SIN(4.8128*AB66 + 0.7841) + 0.0082*SIN(6.0064*AB66 - 4.1892) + 0.0129*SIN(8.5658*AB66 - 2.6197) + 0.018*SIN(2.3917*AC66 - 6.2071) - 0.0051*SIN(6.8214*AC66 - 0.788) - 0.0555*SIN(9.2086*C66 - 2.8096) - 0.0064*SIN(1.8514*AD66 - 7.9837) - 0.0065*SIN(4.5727*G66 - 4.9808) + 0.1062*SIN(0.5248*H66 - 7.6358) + 0.0003*SIN(5.1364*H66 - 2.6246) + 0.0058*SIN(5.2121*H66 - 8.6062) + 0.0015*SIN(8.3474*H66 + 9.8074) - 0.0029*SIN(6.1714*I66 - 4.1886) + 0.0653*SIN(7.2156*I66 - 3.4219) + 0.0001*TAN(8.9948*J66 - 7.1934) + 0.0001*TAN(5.8009*K66 + 4.5993) + 0.0098*TAN(6.7794*K66 - 6.8226) + 0.0029*TAN(6.9834*K66 + 4.6135) + 0.0413*TAN(4.6158*M66 + 2.3649) + 0.0008*TAN(5.595*M66 + 8.3922) - 0.003*TAN(7.9858*M66 + 9.2241) + 0.0005*TAN(2.5273*N66 - 7.8565) + 0.0115*TAN(3.7922*N66 - 6.7997) - 0.0003*TAN(6.9793*N66 + 3.9058) - 0.0004*TAN(9.7633*N66 - 5.0526) - 0.0018*TAN(0.4048*O66 + 2.7944) - 0.0002*TAN(5.241*X66 - 1.8188) + 0.0005*TAN(5.3875*X66 + 1.1754) - 0.023*TAN(8.7482*Y66 + 9.5368) - 0.0009*TAN(2.6115*AB66 - 7.0377) - 0.0025*TAN(7.108*AB66 + 4.9987) + 0.0031*TAN(3.0199*AC66 + 1.8452) - 0.0043*TAN(5.0026*G66 - 4.0162) - 0*TAN(5.3945*G66 - 4.7995) + 0.0002*TAN(4.327*H66 + 4.52) + 0.0016*TAN(4.4351*H66 + 4.6384) + 0.005*TAN(7.9829*H66 - 9.2638) + 0.0072*TAN(8.1618*H66 - 9.2259) - 0.0018*TAN(8.1785*H66 + 6.7678) - 0*TAN(8.7587*H66 + 8.4482) + 0.0005*TANH(0.6928*M66 - 1.3492) + 0.2147*TANH(8.5269*Z66 - 5.9027) + 0.0035*TANH(1.7999*I66 - 1.312) + 2.4028 + 0.0128*EXP(-1.7949*C66) - 0.0138*EXP(-0.881*N66) + 0.0012*EXP(-0.202*L66)</f>
        <v>1.7515284304144143</v>
      </c>
      <c r="AM66">
        <f t="shared" ref="AM66:AM80" si="14">-0.0033*A66 - 0.0104*J66 + 0.0097*P66 + 0.0128*Q66 + 0.0144*R66 + 0.0183*S66 - 0.0162*B66 - 0.0054*T66 - 0.0239*U66 - 0.0071*V66 - 0.0265*W66 - 0.012*X66 - 0.0032*Y66 + 0.0035*Z66 - 0.0206*AA66 + 0.0351*AB66 + 0.0243*AC66 - 0.0367*C66 + 0.0171*AD66 + 0.0886*AE66 + 0.0735*AF66 - 0.0009*D66 + 0.0014*E66 - 0.0101*F66 + 0.0055*G66 + 0.0024*I66 + 0.006*(0.5148 - L66)^2 - 0.0053*(1 - 0.8965*L66)^2 - 0.0145*(-0.7725*L66 - 1)^2 - 0.0004*(-0.3067*L66 - 1)^2 + 0.011*EXP(0.795*L66) + 0.0123*SIN(1.1909*J66 + 6.3974) - 0.0299*SIN(9.80039978027344*J66 + 6.3939) + 0.0005*SIN(10*J66 - 6.8) + 0.0002*SIN(5.0137*K66 + 2.9969) - 0.0039*SIN(5.7734*K66 - 7.6027) - 0.087*SIN(6.8247*K66 - 9.7908) + 0.065*SIN(9.001*K66 - 2.6008) - 0.0017*SIN(9.5867*K66 + 4.2014) - 0.1*SIN(7.8095*M66 - 8.5977) + 0.0279*SIN(9.3712*M66 + 9.2339) + 0.0114*SIN(9.3978*M66 - 8.997) + 0.1084*SIN(5.9906*N66 + 8.386) + 0.0281*SIN(6.807*N66 - 1.207) - 0.0146*SIN(9.1668*N66 - 8.5904) + 0.0664*SIN(0.9783*O66 + 7.211) - 0.0077*SIN(3.5826*O66 + 2.0151) + 0.1076*SIN(4.3824*O66 + 3.0014) + 0.0606*SIN(8.5954*O66 + 3.4039) + 0.0064*SIN(1.1734*X66 + 1.2108) + 0.0068*SIN(0.6134*Y66 - 4.1916) - 0.0003*SIN(8.2054*Y66 - 0.011) - 0.01*SIN(9.2072*Y66 + 9.3892) - 0.027*SIN(5.7802*Z66 - 9.376) + 0.1987*SIN(6.5787*Z66 - 4.2128) + 0.0008*SIN(9.3998*AA66 + 2.7986) - 0.0184*SIN(1.9927*AB66 - 1.3718) + 0.0005*SIN(5.9605*AB66 + 2.8006) - 0.0072*SIN(2.2451*AC66 - 7.357) + 0.0453*SIN(7.8342*AC66 + 7.0234) + 0.05*SIN(1.0318*C66 + 4.999) + 0.0069*SIN(9.3768*C66 + 5.9962) - 0.0097*SIN(1.6966*AD66 + 4.819) - 0.4725*SIN(0.2376*AF66 - 3.908) + 0.3291*SIN(0.4282*AF66 - 0.7588) + 0.0006*SIN(1.7814*G66 - 2.9871) + 0.0174*SIN(2.1752*G66 - 8.2016) - 0.0057*SIN(4.8252*G66 - 6.788) + 0.0266*SIN(4.9766*G66 + 1.5681) - 0.0128*SIN(8.933*H66 - 6.1786) + 0.0063*SIN(6.5965*I66 + 1.9946) + 0.0109*TAN(8.9834*M66 + 4.6145) + 0.0016*TAN(8.5814*N66 + 3.2382) - 0.0003*TAN(9.80599975585938*N66 - 8.8131) - 0.0028*TAN(0.5145*X66 - 8.0478) - 0.0012*TAN(6.9784*Y66 - 2.2426) - 0.0064*TAN(9.6066*Z66 - 1.612) - 0.0016*TAN(7.1919*AA66 + 2.1566) - 0.0004*TAN(8.1719*H66 + 3.0406) - 0.0105*TAN(8.7747*H66 - 1.3652) - 0.0016*TAN(8.9669*H66 + 1.575) + 0.0013*TANH(0.6738*M66 + 0.225) + 2.7011 + 0.0006*EXP(-2.6016*AD66) - 0.0363*EXP(-2.1092*AD66)</f>
        <v>2.3836344753118897</v>
      </c>
    </row>
    <row r="67" spans="1:39">
      <c r="A67">
        <v>-0.36971696999999998</v>
      </c>
      <c r="B67">
        <v>-0.92084379999999999</v>
      </c>
      <c r="C67">
        <v>0.20573424000000001</v>
      </c>
      <c r="D67">
        <v>0.538327</v>
      </c>
      <c r="E67">
        <v>-0.64578663999999997</v>
      </c>
      <c r="F67">
        <v>0.33567256000000001</v>
      </c>
      <c r="G67">
        <v>1.1609478</v>
      </c>
      <c r="H67">
        <v>-0.46896939999999998</v>
      </c>
      <c r="I67">
        <v>-0.11429016</v>
      </c>
      <c r="J67">
        <v>-0.30316411999999998</v>
      </c>
      <c r="K67">
        <v>1.4257721000000001</v>
      </c>
      <c r="L67">
        <v>0.28183150000000001</v>
      </c>
      <c r="M67">
        <v>0.82588523999999996</v>
      </c>
      <c r="N67">
        <v>1.1613928</v>
      </c>
      <c r="O67">
        <v>-0.47566825000000001</v>
      </c>
      <c r="P67">
        <v>-0.38069350000000002</v>
      </c>
      <c r="Q67">
        <v>0.78772633999999997</v>
      </c>
      <c r="R67">
        <v>1.0790660000000001</v>
      </c>
      <c r="S67">
        <v>-1.038724</v>
      </c>
      <c r="T67">
        <v>0.49405919999999998</v>
      </c>
      <c r="U67">
        <v>0.23094010000000001</v>
      </c>
      <c r="V67">
        <v>0.4489108</v>
      </c>
      <c r="W67">
        <v>-0.69038796000000002</v>
      </c>
      <c r="X67">
        <v>7.6390730000000004E-2</v>
      </c>
      <c r="Y67">
        <v>-0.25656050000000002</v>
      </c>
      <c r="Z67">
        <v>-0.11836857000000001</v>
      </c>
      <c r="AA67">
        <v>-0.53628653000000004</v>
      </c>
      <c r="AB67">
        <v>-1.0355692000000001</v>
      </c>
      <c r="AC67">
        <v>-0.35556144000000001</v>
      </c>
      <c r="AD67">
        <v>-0.70225859999999996</v>
      </c>
      <c r="AE67">
        <v>1.2367674</v>
      </c>
      <c r="AF67">
        <v>0.35898461999999998</v>
      </c>
      <c r="AG67">
        <v>2.7080503</v>
      </c>
      <c r="AH67">
        <v>2.8766102999999998</v>
      </c>
      <c r="AI67" s="3">
        <f t="shared" si="10"/>
        <v>2.4722825709791532</v>
      </c>
      <c r="AJ67">
        <f t="shared" si="11"/>
        <v>2.3131314871792141</v>
      </c>
      <c r="AK67">
        <f t="shared" si="12"/>
        <v>0.67489666820780658</v>
      </c>
      <c r="AL67" t="e">
        <f t="shared" si="13"/>
        <v>#NUM!</v>
      </c>
      <c r="AM67">
        <f t="shared" si="14"/>
        <v>2.3784301217432477</v>
      </c>
    </row>
    <row r="68" spans="1:39">
      <c r="A68">
        <v>-0.36971696999999998</v>
      </c>
      <c r="B68">
        <v>1.0859605000000001</v>
      </c>
      <c r="C68">
        <v>0.99856376999999996</v>
      </c>
      <c r="D68">
        <v>0.538327</v>
      </c>
      <c r="E68">
        <v>-0.64578663999999997</v>
      </c>
      <c r="F68">
        <v>0.33567256000000001</v>
      </c>
      <c r="G68">
        <v>1.1609478</v>
      </c>
      <c r="H68">
        <v>1.3719539999999999</v>
      </c>
      <c r="I68">
        <v>1.4908516000000001</v>
      </c>
      <c r="J68">
        <v>0.85105103000000004</v>
      </c>
      <c r="K68">
        <v>-0.21555388</v>
      </c>
      <c r="L68">
        <v>0.28183150000000001</v>
      </c>
      <c r="M68">
        <v>0.82588523999999996</v>
      </c>
      <c r="N68">
        <v>-1.2373008000000001</v>
      </c>
      <c r="O68">
        <v>-0.47566825000000001</v>
      </c>
      <c r="P68">
        <v>-0.38069350000000002</v>
      </c>
      <c r="Q68">
        <v>-1.2694764000000001</v>
      </c>
      <c r="R68">
        <v>1.0790660000000001</v>
      </c>
      <c r="S68">
        <v>0.96271974000000005</v>
      </c>
      <c r="T68">
        <v>0.49405919999999998</v>
      </c>
      <c r="U68">
        <v>0.23094010000000001</v>
      </c>
      <c r="V68">
        <v>0.4489108</v>
      </c>
      <c r="W68">
        <v>-0.69038796000000002</v>
      </c>
      <c r="X68">
        <v>-1.0208579</v>
      </c>
      <c r="Y68">
        <v>-1.2333449999999999</v>
      </c>
      <c r="Z68">
        <v>0.77221406000000004</v>
      </c>
      <c r="AA68">
        <v>-0.53628653000000004</v>
      </c>
      <c r="AB68">
        <v>1.3647232</v>
      </c>
      <c r="AC68">
        <v>-0.35556144000000001</v>
      </c>
      <c r="AD68">
        <v>1.8605244000000001</v>
      </c>
      <c r="AE68">
        <v>-0.57817923999999998</v>
      </c>
      <c r="AF68">
        <v>-0.43614954</v>
      </c>
      <c r="AG68">
        <v>2.3025850999999999</v>
      </c>
      <c r="AH68">
        <v>2.2271456999999999</v>
      </c>
      <c r="AI68">
        <f t="shared" si="10"/>
        <v>2.190520241399879</v>
      </c>
      <c r="AJ68">
        <f t="shared" si="11"/>
        <v>2.1553814393262067</v>
      </c>
      <c r="AK68">
        <f t="shared" si="12"/>
        <v>-0.21801359662245925</v>
      </c>
      <c r="AL68">
        <f t="shared" si="13"/>
        <v>1.8406221879201983</v>
      </c>
      <c r="AM68" s="3">
        <f t="shared" si="14"/>
        <v>2.2972460748900767</v>
      </c>
    </row>
    <row r="69" spans="1:39">
      <c r="A69">
        <v>-0.36971696999999998</v>
      </c>
      <c r="B69">
        <v>1.0859605000000001</v>
      </c>
      <c r="C69">
        <v>-0.58709526000000001</v>
      </c>
      <c r="D69">
        <v>0.538327</v>
      </c>
      <c r="E69">
        <v>1.5484990999999999</v>
      </c>
      <c r="F69">
        <v>0.33567256000000001</v>
      </c>
      <c r="G69">
        <v>1.1609478</v>
      </c>
      <c r="H69">
        <v>0.45149228000000002</v>
      </c>
      <c r="I69">
        <v>1.4908516000000001</v>
      </c>
      <c r="J69">
        <v>-0.30316411999999998</v>
      </c>
      <c r="K69">
        <v>-1.0362169000000001</v>
      </c>
      <c r="L69">
        <v>0.28183150000000001</v>
      </c>
      <c r="M69">
        <v>-0.66542756999999997</v>
      </c>
      <c r="N69">
        <v>-1.2373008000000001</v>
      </c>
      <c r="O69">
        <v>-0.47566825000000001</v>
      </c>
      <c r="P69">
        <v>-0.38069350000000002</v>
      </c>
      <c r="Q69">
        <v>-1.2694764000000001</v>
      </c>
      <c r="R69">
        <v>-0.92672730000000003</v>
      </c>
      <c r="S69">
        <v>0.96271974000000005</v>
      </c>
      <c r="T69">
        <v>-2.0240490000000002</v>
      </c>
      <c r="U69">
        <v>0.23094010000000001</v>
      </c>
      <c r="V69">
        <v>0.4489108</v>
      </c>
      <c r="W69">
        <v>-0.69038796000000002</v>
      </c>
      <c r="X69">
        <v>1.1736394000000001</v>
      </c>
      <c r="Y69">
        <v>0.72022410000000003</v>
      </c>
      <c r="Z69">
        <v>1.6627966000000001</v>
      </c>
      <c r="AA69">
        <v>-0.53628653000000004</v>
      </c>
      <c r="AB69">
        <v>-1.0355692000000001</v>
      </c>
      <c r="AC69">
        <v>-0.35556144000000001</v>
      </c>
      <c r="AD69">
        <v>-0.70225859999999996</v>
      </c>
      <c r="AE69">
        <v>-1.4856526000000001</v>
      </c>
      <c r="AF69">
        <v>-2.8215520000000001</v>
      </c>
      <c r="AG69">
        <v>0</v>
      </c>
      <c r="AH69">
        <v>1.6125467</v>
      </c>
      <c r="AI69">
        <f t="shared" si="10"/>
        <v>1.5942666091081548</v>
      </c>
      <c r="AJ69">
        <f t="shared" si="11"/>
        <v>1.7569188875552206</v>
      </c>
      <c r="AK69" s="3">
        <f t="shared" si="12"/>
        <v>1.8579741389845479E-3</v>
      </c>
      <c r="AL69" t="e">
        <f t="shared" si="13"/>
        <v>#NUM!</v>
      </c>
      <c r="AM69">
        <f t="shared" si="14"/>
        <v>1.6602090973544428</v>
      </c>
    </row>
    <row r="70" spans="1:39">
      <c r="A70">
        <v>-0.36971696999999998</v>
      </c>
      <c r="B70">
        <v>1.0859605000000001</v>
      </c>
      <c r="C70">
        <v>-0.58709526000000001</v>
      </c>
      <c r="D70">
        <v>0.538327</v>
      </c>
      <c r="E70">
        <v>1.5484990999999999</v>
      </c>
      <c r="F70">
        <v>0.33567256000000001</v>
      </c>
      <c r="G70">
        <v>-0.67334970000000005</v>
      </c>
      <c r="H70">
        <v>-1.3894310999999999</v>
      </c>
      <c r="I70">
        <v>-1.7194320000000001</v>
      </c>
      <c r="J70">
        <v>-0.30316411999999998</v>
      </c>
      <c r="K70">
        <v>-1.0362169000000001</v>
      </c>
      <c r="L70">
        <v>0.28183150000000001</v>
      </c>
      <c r="M70">
        <v>-0.66542756999999997</v>
      </c>
      <c r="N70">
        <v>-1.2373008000000001</v>
      </c>
      <c r="O70">
        <v>0.85451907000000005</v>
      </c>
      <c r="P70">
        <v>-0.38069350000000002</v>
      </c>
      <c r="Q70">
        <v>-1.2694764000000001</v>
      </c>
      <c r="R70">
        <v>-0.92672730000000003</v>
      </c>
      <c r="S70">
        <v>0.96271974000000005</v>
      </c>
      <c r="T70">
        <v>0.49405919999999998</v>
      </c>
      <c r="U70">
        <v>0.23094010000000001</v>
      </c>
      <c r="V70">
        <v>-2.227614</v>
      </c>
      <c r="W70">
        <v>1.4484608999999999</v>
      </c>
      <c r="X70">
        <v>7.6390730000000004E-2</v>
      </c>
      <c r="Y70">
        <v>0.72022410000000003</v>
      </c>
      <c r="Z70">
        <v>0.77221406000000004</v>
      </c>
      <c r="AA70">
        <v>1.7851729000000001</v>
      </c>
      <c r="AB70">
        <v>2.1648206999999999</v>
      </c>
      <c r="AC70">
        <v>1.0757432</v>
      </c>
      <c r="AD70">
        <v>-3.3177570000000002E-3</v>
      </c>
      <c r="AE70">
        <v>0.32929412000000002</v>
      </c>
      <c r="AF70">
        <v>0.62402933999999999</v>
      </c>
      <c r="AG70">
        <v>2.7080503</v>
      </c>
      <c r="AH70">
        <v>2.7674574999999999</v>
      </c>
      <c r="AI70" s="3">
        <f t="shared" si="10"/>
        <v>2.700023328814968</v>
      </c>
      <c r="AJ70">
        <f t="shared" si="11"/>
        <v>2.3945471069894486</v>
      </c>
      <c r="AK70" t="e">
        <f t="shared" si="12"/>
        <v>#NUM!</v>
      </c>
      <c r="AL70">
        <f t="shared" si="13"/>
        <v>1.7449536206363492</v>
      </c>
      <c r="AM70">
        <f t="shared" si="14"/>
        <v>2.585014956324748</v>
      </c>
    </row>
    <row r="71" spans="1:39">
      <c r="A71">
        <v>2.7047715000000001</v>
      </c>
      <c r="B71">
        <v>1.0859605000000001</v>
      </c>
      <c r="C71">
        <v>0.99856376999999996</v>
      </c>
      <c r="D71">
        <v>0.538327</v>
      </c>
      <c r="E71">
        <v>1.5484990999999999</v>
      </c>
      <c r="F71">
        <v>0.33567256000000001</v>
      </c>
      <c r="G71">
        <v>-1.5904984</v>
      </c>
      <c r="H71">
        <v>-1.3894310999999999</v>
      </c>
      <c r="I71">
        <v>-0.11429016</v>
      </c>
      <c r="J71">
        <v>0.85105103000000004</v>
      </c>
      <c r="K71">
        <v>-0.21555388</v>
      </c>
      <c r="L71">
        <v>-1.6130357</v>
      </c>
      <c r="M71">
        <v>0.82588523999999996</v>
      </c>
      <c r="N71">
        <v>-1.2373008000000001</v>
      </c>
      <c r="O71">
        <v>-0.47566825000000001</v>
      </c>
      <c r="P71">
        <v>-0.38069350000000002</v>
      </c>
      <c r="Q71">
        <v>-1.2694764000000001</v>
      </c>
      <c r="R71">
        <v>-0.92672730000000003</v>
      </c>
      <c r="S71">
        <v>-1.038724</v>
      </c>
      <c r="T71">
        <v>-2.0240490000000002</v>
      </c>
      <c r="U71">
        <v>0.23094010000000001</v>
      </c>
      <c r="V71">
        <v>0.4489108</v>
      </c>
      <c r="W71">
        <v>1.4484608999999999</v>
      </c>
      <c r="X71">
        <v>-1.0208579</v>
      </c>
      <c r="Y71">
        <v>-0.25656050000000002</v>
      </c>
      <c r="Z71">
        <v>-1.0089512</v>
      </c>
      <c r="AA71">
        <v>-0.53628653000000004</v>
      </c>
      <c r="AB71">
        <v>-0.23547171</v>
      </c>
      <c r="AC71">
        <v>-0.35556144000000001</v>
      </c>
      <c r="AD71">
        <v>-0.23629803999999999</v>
      </c>
      <c r="AE71">
        <v>-0.27568809999999999</v>
      </c>
      <c r="AF71">
        <v>-0.17110481999999999</v>
      </c>
      <c r="AG71">
        <v>2.3978953000000001</v>
      </c>
      <c r="AH71">
        <v>2.511358</v>
      </c>
      <c r="AI71">
        <f t="shared" si="10"/>
        <v>2.1969030935313345</v>
      </c>
      <c r="AJ71">
        <f t="shared" si="11"/>
        <v>2.1894776429444494</v>
      </c>
      <c r="AK71">
        <f t="shared" si="12"/>
        <v>-0.3481573713972626</v>
      </c>
      <c r="AL71">
        <f t="shared" si="13"/>
        <v>1.4317701761565078</v>
      </c>
      <c r="AM71" s="3">
        <f t="shared" si="14"/>
        <v>2.2430495760161051</v>
      </c>
    </row>
    <row r="72" spans="1:39">
      <c r="A72">
        <v>-0.36971696999999998</v>
      </c>
      <c r="B72">
        <v>1.0859605000000001</v>
      </c>
      <c r="C72">
        <v>-1.3799248</v>
      </c>
      <c r="D72">
        <v>0.538327</v>
      </c>
      <c r="E72">
        <v>-0.64578663999999997</v>
      </c>
      <c r="F72">
        <v>-2.9790937999999998</v>
      </c>
      <c r="G72">
        <v>1.1609478</v>
      </c>
      <c r="H72">
        <v>1.3719539999999999</v>
      </c>
      <c r="I72">
        <v>-0.11429016</v>
      </c>
      <c r="J72">
        <v>0.85105103000000004</v>
      </c>
      <c r="K72">
        <v>1.4257721000000001</v>
      </c>
      <c r="L72">
        <v>0.28183150000000001</v>
      </c>
      <c r="M72">
        <v>-0.66542756999999997</v>
      </c>
      <c r="N72">
        <v>2.3607395000000002</v>
      </c>
      <c r="O72">
        <v>-0.47566825000000001</v>
      </c>
      <c r="P72">
        <v>-0.38069350000000002</v>
      </c>
      <c r="Q72">
        <v>0.78772633999999997</v>
      </c>
      <c r="R72">
        <v>-0.92672730000000003</v>
      </c>
      <c r="S72">
        <v>0.96271974000000005</v>
      </c>
      <c r="T72">
        <v>-2.0240490000000002</v>
      </c>
      <c r="U72">
        <v>0.23094010000000001</v>
      </c>
      <c r="V72">
        <v>0.4489108</v>
      </c>
      <c r="W72">
        <v>1.4484608999999999</v>
      </c>
      <c r="X72">
        <v>-3.2153554</v>
      </c>
      <c r="Y72">
        <v>-0.25656050000000002</v>
      </c>
      <c r="Z72">
        <v>-0.11836857000000001</v>
      </c>
      <c r="AA72">
        <v>4.1066320000000003</v>
      </c>
      <c r="AB72">
        <v>2.1648206999999999</v>
      </c>
      <c r="AC72">
        <v>-0.35556144000000001</v>
      </c>
      <c r="AD72">
        <v>-0.23629803999999999</v>
      </c>
      <c r="AE72">
        <v>0.63178520000000005</v>
      </c>
      <c r="AF72">
        <v>0.62402933999999999</v>
      </c>
      <c r="AG72">
        <v>2.5649492999999999</v>
      </c>
      <c r="AH72">
        <v>2.8747729999999998</v>
      </c>
      <c r="AI72" s="3">
        <f t="shared" si="10"/>
        <v>2.5657789662950745</v>
      </c>
      <c r="AJ72">
        <f t="shared" si="11"/>
        <v>1.9484734843517304</v>
      </c>
      <c r="AK72">
        <f t="shared" si="12"/>
        <v>-0.24169992379589442</v>
      </c>
      <c r="AL72">
        <f t="shared" si="13"/>
        <v>3.1612782751775192</v>
      </c>
      <c r="AM72">
        <f t="shared" si="14"/>
        <v>2.5306214938009091</v>
      </c>
    </row>
    <row r="73" spans="1:39">
      <c r="A73">
        <v>-0.36971696999999998</v>
      </c>
      <c r="B73">
        <v>1.0859605000000001</v>
      </c>
      <c r="C73">
        <v>0.99856376999999996</v>
      </c>
      <c r="D73">
        <v>0.538327</v>
      </c>
      <c r="E73">
        <v>-0.64578663999999997</v>
      </c>
      <c r="F73">
        <v>0.33567256000000001</v>
      </c>
      <c r="G73">
        <v>1.1609478</v>
      </c>
      <c r="H73">
        <v>-0.46896939999999998</v>
      </c>
      <c r="I73">
        <v>1.4908516000000001</v>
      </c>
      <c r="J73">
        <v>-0.30316411999999998</v>
      </c>
      <c r="K73">
        <v>-0.21555388</v>
      </c>
      <c r="L73">
        <v>0.28183150000000001</v>
      </c>
      <c r="M73">
        <v>-0.66542756999999997</v>
      </c>
      <c r="N73">
        <v>-3.7954014000000001E-2</v>
      </c>
      <c r="O73">
        <v>-0.47566825000000001</v>
      </c>
      <c r="P73">
        <v>-0.38069350000000002</v>
      </c>
      <c r="Q73">
        <v>0.78772633999999997</v>
      </c>
      <c r="R73">
        <v>1.0790660000000001</v>
      </c>
      <c r="S73">
        <v>0.96271974000000005</v>
      </c>
      <c r="T73">
        <v>0.49405919999999998</v>
      </c>
      <c r="U73">
        <v>0.23094010000000001</v>
      </c>
      <c r="V73">
        <v>0.4489108</v>
      </c>
      <c r="W73">
        <v>1.4484608999999999</v>
      </c>
      <c r="X73">
        <v>7.6390730000000004E-2</v>
      </c>
      <c r="Y73">
        <v>-0.25656050000000002</v>
      </c>
      <c r="Z73">
        <v>-1.0089512</v>
      </c>
      <c r="AA73">
        <v>-0.53628653000000004</v>
      </c>
      <c r="AB73">
        <v>1.3647232</v>
      </c>
      <c r="AC73">
        <v>1.0757432</v>
      </c>
      <c r="AD73">
        <v>0.57913289999999995</v>
      </c>
      <c r="AE73">
        <v>0.32929412000000002</v>
      </c>
      <c r="AF73">
        <v>9.3939900000000007E-2</v>
      </c>
      <c r="AG73">
        <v>2.4849066999999998</v>
      </c>
      <c r="AH73">
        <v>2.4800564999999999</v>
      </c>
      <c r="AI73">
        <f t="shared" si="10"/>
        <v>2.3414822294077142</v>
      </c>
      <c r="AJ73">
        <f t="shared" si="11"/>
        <v>2.204331848399689</v>
      </c>
      <c r="AK73" t="e">
        <f t="shared" si="12"/>
        <v>#NUM!</v>
      </c>
      <c r="AL73">
        <f t="shared" si="13"/>
        <v>1.6192874080879769</v>
      </c>
      <c r="AM73" s="3">
        <f t="shared" si="14"/>
        <v>2.5577826288209429</v>
      </c>
    </row>
    <row r="74" spans="1:39">
      <c r="A74">
        <v>-0.36971696999999998</v>
      </c>
      <c r="B74">
        <v>1.0859605000000001</v>
      </c>
      <c r="C74">
        <v>0.20573424000000001</v>
      </c>
      <c r="D74">
        <v>-1.8576071000000001</v>
      </c>
      <c r="E74">
        <v>-0.64578663999999997</v>
      </c>
      <c r="F74">
        <v>0.33567256000000001</v>
      </c>
      <c r="G74">
        <v>-0.67334970000000005</v>
      </c>
      <c r="H74">
        <v>-0.46896939999999998</v>
      </c>
      <c r="I74">
        <v>0.68828076000000005</v>
      </c>
      <c r="J74">
        <v>-0.30316411999999998</v>
      </c>
      <c r="K74">
        <v>-1.0362169000000001</v>
      </c>
      <c r="L74">
        <v>0.28183150000000001</v>
      </c>
      <c r="M74">
        <v>3.8085108000000001</v>
      </c>
      <c r="N74">
        <v>-1.2373008000000001</v>
      </c>
      <c r="O74">
        <v>-0.47566825000000001</v>
      </c>
      <c r="P74">
        <v>-0.38069350000000002</v>
      </c>
      <c r="Q74">
        <v>0.78772633999999997</v>
      </c>
      <c r="R74">
        <v>-0.92672730000000003</v>
      </c>
      <c r="S74">
        <v>-1.038724</v>
      </c>
      <c r="T74">
        <v>0.49405919999999998</v>
      </c>
      <c r="U74">
        <v>0.23094010000000001</v>
      </c>
      <c r="V74">
        <v>0.4489108</v>
      </c>
      <c r="W74">
        <v>-0.69038796000000002</v>
      </c>
      <c r="X74">
        <v>7.6390730000000004E-2</v>
      </c>
      <c r="Y74">
        <v>0.72022410000000003</v>
      </c>
      <c r="Z74">
        <v>1.6627966000000001</v>
      </c>
      <c r="AA74">
        <v>4.1066320000000003</v>
      </c>
      <c r="AB74">
        <v>2.1648206999999999</v>
      </c>
      <c r="AC74">
        <v>0.36009088</v>
      </c>
      <c r="AD74">
        <v>0.22966252000000001</v>
      </c>
      <c r="AE74">
        <v>2.6803009999999999E-2</v>
      </c>
      <c r="AF74">
        <v>-0.17110481999999999</v>
      </c>
      <c r="AG74">
        <v>2.3978953000000001</v>
      </c>
      <c r="AH74">
        <v>1.9040383999999999</v>
      </c>
      <c r="AI74" s="3">
        <f t="shared" si="10"/>
        <v>2.5188702749346783</v>
      </c>
      <c r="AJ74">
        <f t="shared" si="11"/>
        <v>1.5595491199756644</v>
      </c>
      <c r="AK74">
        <f t="shared" si="12"/>
        <v>0.87414476894217408</v>
      </c>
      <c r="AL74">
        <f t="shared" si="13"/>
        <v>1.803934962397916</v>
      </c>
      <c r="AM74">
        <f t="shared" si="14"/>
        <v>2.1731325432948392</v>
      </c>
    </row>
    <row r="75" spans="1:39">
      <c r="A75">
        <v>-0.36971696999999998</v>
      </c>
      <c r="B75">
        <v>-0.92084379999999999</v>
      </c>
      <c r="C75">
        <v>1.7913933</v>
      </c>
      <c r="D75">
        <v>0.538327</v>
      </c>
      <c r="E75">
        <v>-0.64578663999999997</v>
      </c>
      <c r="F75">
        <v>0.33567256000000001</v>
      </c>
      <c r="G75">
        <v>-0.67334970000000005</v>
      </c>
      <c r="H75">
        <v>-1.3894310999999999</v>
      </c>
      <c r="I75">
        <v>-1.7194320000000001</v>
      </c>
      <c r="J75">
        <v>-0.30316411999999998</v>
      </c>
      <c r="K75">
        <v>0.60510909999999996</v>
      </c>
      <c r="L75">
        <v>2.1766987000000002</v>
      </c>
      <c r="M75">
        <v>2.3171979999999999</v>
      </c>
      <c r="N75">
        <v>-3.7954014000000001E-2</v>
      </c>
      <c r="O75">
        <v>-0.47566825000000001</v>
      </c>
      <c r="P75">
        <v>-0.38069350000000002</v>
      </c>
      <c r="Q75">
        <v>0.78772633999999997</v>
      </c>
      <c r="R75">
        <v>-0.92672730000000003</v>
      </c>
      <c r="S75">
        <v>-1.038724</v>
      </c>
      <c r="T75">
        <v>0.49405919999999998</v>
      </c>
      <c r="U75">
        <v>-4.3301271999999997</v>
      </c>
      <c r="V75">
        <v>0.4489108</v>
      </c>
      <c r="W75">
        <v>1.4484608999999999</v>
      </c>
      <c r="X75">
        <v>-1.0208579</v>
      </c>
      <c r="Y75">
        <v>0.72022410000000003</v>
      </c>
      <c r="Z75">
        <v>-1.8995339</v>
      </c>
      <c r="AA75">
        <v>-0.53628653000000004</v>
      </c>
      <c r="AB75">
        <v>-1.0355692000000001</v>
      </c>
      <c r="AC75">
        <v>-1.0712136999999999</v>
      </c>
      <c r="AD75">
        <v>1.6275442</v>
      </c>
      <c r="AE75">
        <v>0.93427634000000004</v>
      </c>
      <c r="AF75">
        <v>0.35898461999999998</v>
      </c>
      <c r="AG75">
        <v>2.6390574</v>
      </c>
      <c r="AH75">
        <v>2.8831115</v>
      </c>
      <c r="AI75" s="3">
        <f t="shared" si="10"/>
        <v>2.6344597810322088</v>
      </c>
      <c r="AJ75">
        <f t="shared" si="11"/>
        <v>2.0300652332910474</v>
      </c>
      <c r="AK75">
        <f t="shared" si="12"/>
        <v>1.0838346927449731</v>
      </c>
      <c r="AL75">
        <f t="shared" si="13"/>
        <v>1.5461444572969594</v>
      </c>
      <c r="AM75">
        <f t="shared" si="14"/>
        <v>2.5338212943947434</v>
      </c>
    </row>
    <row r="76" spans="1:39">
      <c r="A76">
        <v>2.7047715000000001</v>
      </c>
      <c r="B76">
        <v>-0.92084379999999999</v>
      </c>
      <c r="C76">
        <v>0.99856376999999996</v>
      </c>
      <c r="D76">
        <v>-1.8576071000000001</v>
      </c>
      <c r="E76">
        <v>-0.64578663999999997</v>
      </c>
      <c r="F76">
        <v>0.33567256000000001</v>
      </c>
      <c r="G76">
        <v>-1.5904984</v>
      </c>
      <c r="H76">
        <v>-1.3894310999999999</v>
      </c>
      <c r="I76">
        <v>-0.11429016</v>
      </c>
      <c r="J76">
        <v>-0.30316411999999998</v>
      </c>
      <c r="K76">
        <v>-0.21555388</v>
      </c>
      <c r="L76">
        <v>0.28183150000000001</v>
      </c>
      <c r="M76">
        <v>3.8085108000000001</v>
      </c>
      <c r="N76">
        <v>1.1613928</v>
      </c>
      <c r="O76">
        <v>-0.47566825000000001</v>
      </c>
      <c r="P76">
        <v>-0.38069350000000002</v>
      </c>
      <c r="Q76">
        <v>-1.2694764000000001</v>
      </c>
      <c r="R76">
        <v>-0.92672730000000003</v>
      </c>
      <c r="S76">
        <v>-1.038724</v>
      </c>
      <c r="T76">
        <v>0.49405919999999998</v>
      </c>
      <c r="U76">
        <v>0.23094010000000001</v>
      </c>
      <c r="V76">
        <v>0.4489108</v>
      </c>
      <c r="W76">
        <v>-0.69038796000000002</v>
      </c>
      <c r="X76">
        <v>7.6390730000000004E-2</v>
      </c>
      <c r="Y76">
        <v>-0.25656050000000002</v>
      </c>
      <c r="Z76">
        <v>-1.0089512</v>
      </c>
      <c r="AA76">
        <v>-0.53628653000000004</v>
      </c>
      <c r="AB76">
        <v>-0.23547171</v>
      </c>
      <c r="AC76">
        <v>0.36009088</v>
      </c>
      <c r="AD76">
        <v>-0.46927829999999998</v>
      </c>
      <c r="AE76">
        <v>-0.88067030000000002</v>
      </c>
      <c r="AF76">
        <v>-0.70119419999999999</v>
      </c>
      <c r="AG76">
        <v>2.3978953000000001</v>
      </c>
      <c r="AH76">
        <v>2.2211745000000001</v>
      </c>
      <c r="AI76">
        <f t="shared" si="10"/>
        <v>1.9266349160329233</v>
      </c>
      <c r="AJ76">
        <f t="shared" si="11"/>
        <v>1.7372587138108579</v>
      </c>
      <c r="AK76">
        <f t="shared" si="12"/>
        <v>1.0099892433222957</v>
      </c>
      <c r="AL76">
        <f t="shared" si="13"/>
        <v>1.1888619339279298</v>
      </c>
      <c r="AM76" s="3">
        <f t="shared" si="14"/>
        <v>2.0113544663030414</v>
      </c>
    </row>
    <row r="77" spans="1:39">
      <c r="A77">
        <v>-0.36971696999999998</v>
      </c>
      <c r="B77">
        <v>1.0859605000000001</v>
      </c>
      <c r="C77">
        <v>2.5842228</v>
      </c>
      <c r="D77">
        <v>0.538327</v>
      </c>
      <c r="E77">
        <v>-0.64578663999999997</v>
      </c>
      <c r="F77">
        <v>-2.9790937999999998</v>
      </c>
      <c r="G77">
        <v>0.24379903</v>
      </c>
      <c r="H77">
        <v>-0.46896939999999998</v>
      </c>
      <c r="I77">
        <v>0.68828076000000005</v>
      </c>
      <c r="J77">
        <v>-0.30316411999999998</v>
      </c>
      <c r="K77">
        <v>-1.0362169000000001</v>
      </c>
      <c r="L77">
        <v>2.1766987000000002</v>
      </c>
      <c r="M77">
        <v>-0.66542756999999997</v>
      </c>
      <c r="N77">
        <v>-1.2373008000000001</v>
      </c>
      <c r="O77">
        <v>-0.47566825000000001</v>
      </c>
      <c r="P77">
        <v>-0.38069350000000002</v>
      </c>
      <c r="Q77">
        <v>-1.2694764000000001</v>
      </c>
      <c r="R77">
        <v>-0.92672730000000003</v>
      </c>
      <c r="S77">
        <v>0.96271974000000005</v>
      </c>
      <c r="T77">
        <v>0.49405919999999998</v>
      </c>
      <c r="U77">
        <v>0.23094010000000001</v>
      </c>
      <c r="V77">
        <v>-2.227614</v>
      </c>
      <c r="W77">
        <v>-0.69038796000000002</v>
      </c>
      <c r="X77">
        <v>1.1736394000000001</v>
      </c>
      <c r="Y77">
        <v>1.6970086</v>
      </c>
      <c r="Z77">
        <v>-0.11836857000000001</v>
      </c>
      <c r="AA77">
        <v>-0.53628653000000004</v>
      </c>
      <c r="AB77">
        <v>-1.0355692000000001</v>
      </c>
      <c r="AC77">
        <v>1.0757432</v>
      </c>
      <c r="AD77">
        <v>-0.70225859999999996</v>
      </c>
      <c r="AE77">
        <v>1.8417497</v>
      </c>
      <c r="AF77">
        <v>1.9492529999999999</v>
      </c>
      <c r="AG77">
        <v>2.944439</v>
      </c>
      <c r="AH77">
        <v>2.8802322999999999</v>
      </c>
      <c r="AI77">
        <f t="shared" si="10"/>
        <v>2.7752868128085475</v>
      </c>
      <c r="AJ77">
        <f t="shared" si="11"/>
        <v>2.5432220824617433</v>
      </c>
      <c r="AK77" t="e">
        <f t="shared" si="12"/>
        <v>#NUM!</v>
      </c>
      <c r="AL77" t="e">
        <f t="shared" si="13"/>
        <v>#NUM!</v>
      </c>
      <c r="AM77" s="3">
        <f t="shared" si="14"/>
        <v>2.9784305043264525</v>
      </c>
    </row>
    <row r="78" spans="1:39">
      <c r="A78">
        <v>-0.36971696999999998</v>
      </c>
      <c r="B78">
        <v>1.0859605000000001</v>
      </c>
      <c r="C78">
        <v>-0.58709526000000001</v>
      </c>
      <c r="D78">
        <v>0.538327</v>
      </c>
      <c r="E78">
        <v>-0.64578663999999997</v>
      </c>
      <c r="F78">
        <v>0.33567256000000001</v>
      </c>
      <c r="G78">
        <v>1.1609478</v>
      </c>
      <c r="H78">
        <v>1.3719539999999999</v>
      </c>
      <c r="I78">
        <v>1.4908516000000001</v>
      </c>
      <c r="J78">
        <v>2.0052661999999999</v>
      </c>
      <c r="K78">
        <v>-1.0362169000000001</v>
      </c>
      <c r="L78">
        <v>0.28183150000000001</v>
      </c>
      <c r="M78">
        <v>-0.66542756999999997</v>
      </c>
      <c r="N78">
        <v>-1.2373008000000001</v>
      </c>
      <c r="O78">
        <v>-0.47566825000000001</v>
      </c>
      <c r="P78">
        <v>-0.38069350000000002</v>
      </c>
      <c r="Q78">
        <v>0.78772633999999997</v>
      </c>
      <c r="R78">
        <v>-0.92672730000000003</v>
      </c>
      <c r="S78">
        <v>-1.038724</v>
      </c>
      <c r="T78">
        <v>0.49405919999999998</v>
      </c>
      <c r="U78">
        <v>-4.3301271999999997</v>
      </c>
      <c r="V78">
        <v>0.4489108</v>
      </c>
      <c r="W78">
        <v>1.4484608999999999</v>
      </c>
      <c r="X78">
        <v>-1.0208579</v>
      </c>
      <c r="Y78">
        <v>-0.25656050000000002</v>
      </c>
      <c r="Z78">
        <v>-1.0089512</v>
      </c>
      <c r="AA78">
        <v>0.62444319999999998</v>
      </c>
      <c r="AB78">
        <v>-1.0355692000000001</v>
      </c>
      <c r="AC78">
        <v>1.0757432</v>
      </c>
      <c r="AD78">
        <v>-0.70225859999999996</v>
      </c>
      <c r="AE78">
        <v>-1.1831613999999999</v>
      </c>
      <c r="AF78">
        <v>-1.2312837000000001</v>
      </c>
      <c r="AG78">
        <v>0</v>
      </c>
      <c r="AH78">
        <v>1.8302448</v>
      </c>
      <c r="AI78">
        <f t="shared" si="10"/>
        <v>1.9428160352952548</v>
      </c>
      <c r="AJ78" s="3">
        <f t="shared" si="11"/>
        <v>1.9048367204123129</v>
      </c>
      <c r="AK78" t="e">
        <f t="shared" si="12"/>
        <v>#NUM!</v>
      </c>
      <c r="AL78" t="e">
        <f t="shared" si="13"/>
        <v>#NUM!</v>
      </c>
      <c r="AM78">
        <f t="shared" si="14"/>
        <v>1.9235344525187801</v>
      </c>
    </row>
    <row r="79" spans="1:39">
      <c r="A79">
        <v>-0.36971696999999998</v>
      </c>
      <c r="B79">
        <v>1.0859605000000001</v>
      </c>
      <c r="C79">
        <v>-0.58709526000000001</v>
      </c>
      <c r="D79">
        <v>-1.8576071000000001</v>
      </c>
      <c r="E79">
        <v>-0.64578663999999997</v>
      </c>
      <c r="F79">
        <v>0.33567256000000001</v>
      </c>
      <c r="G79">
        <v>1.1609478</v>
      </c>
      <c r="H79">
        <v>1.3719539999999999</v>
      </c>
      <c r="I79">
        <v>1.4908516000000001</v>
      </c>
      <c r="J79">
        <v>2.0052661999999999</v>
      </c>
      <c r="K79">
        <v>-1.0362169000000001</v>
      </c>
      <c r="L79">
        <v>0.28183150000000001</v>
      </c>
      <c r="M79">
        <v>-0.66542756999999997</v>
      </c>
      <c r="N79">
        <v>-1.2373008000000001</v>
      </c>
      <c r="O79">
        <v>-0.47566825000000001</v>
      </c>
      <c r="P79">
        <v>-0.38069350000000002</v>
      </c>
      <c r="Q79">
        <v>-1.2694764000000001</v>
      </c>
      <c r="R79">
        <v>1.0790660000000001</v>
      </c>
      <c r="S79">
        <v>0.96271974000000005</v>
      </c>
      <c r="T79">
        <v>0.49405919999999998</v>
      </c>
      <c r="U79">
        <v>0.23094010000000001</v>
      </c>
      <c r="V79">
        <v>0.4489108</v>
      </c>
      <c r="W79">
        <v>-0.69038796000000002</v>
      </c>
      <c r="X79">
        <v>-1.0208579</v>
      </c>
      <c r="Y79">
        <v>1.6970086</v>
      </c>
      <c r="Z79">
        <v>1.6627966000000001</v>
      </c>
      <c r="AA79">
        <v>0.62444319999999998</v>
      </c>
      <c r="AB79">
        <v>2.1648206999999999</v>
      </c>
      <c r="AC79">
        <v>0.36009088</v>
      </c>
      <c r="AD79">
        <v>0.22966252000000001</v>
      </c>
      <c r="AE79">
        <v>2.1442408999999998</v>
      </c>
      <c r="AF79">
        <v>1.9492529999999999</v>
      </c>
      <c r="AG79">
        <v>2.944439</v>
      </c>
      <c r="AH79">
        <v>3.3978581000000001</v>
      </c>
      <c r="AI79">
        <f t="shared" si="10"/>
        <v>3.0775651148001124</v>
      </c>
      <c r="AJ79" s="3">
        <f t="shared" si="11"/>
        <v>2.8461412187766788</v>
      </c>
      <c r="AK79">
        <f t="shared" si="12"/>
        <v>0.13396483901888456</v>
      </c>
      <c r="AL79">
        <f t="shared" si="13"/>
        <v>2.4571434474756231</v>
      </c>
      <c r="AM79">
        <f t="shared" si="14"/>
        <v>3.2019229333263146</v>
      </c>
    </row>
    <row r="80" spans="1:39">
      <c r="A80">
        <v>-0.36971696999999998</v>
      </c>
      <c r="B80">
        <v>1.0859605000000001</v>
      </c>
      <c r="C80">
        <v>-1.3799248</v>
      </c>
      <c r="D80">
        <v>0.538327</v>
      </c>
      <c r="E80">
        <v>-0.64578663999999997</v>
      </c>
      <c r="F80">
        <v>0.33567256000000001</v>
      </c>
      <c r="G80">
        <v>1.1609478</v>
      </c>
      <c r="H80">
        <v>0.45149228000000002</v>
      </c>
      <c r="I80">
        <v>1.4908516000000001</v>
      </c>
      <c r="J80">
        <v>-0.30316411999999998</v>
      </c>
      <c r="K80">
        <v>-1.0362169000000001</v>
      </c>
      <c r="L80">
        <v>0.28183150000000001</v>
      </c>
      <c r="M80">
        <v>0.82588523999999996</v>
      </c>
      <c r="N80">
        <v>-3.7954014000000001E-2</v>
      </c>
      <c r="O80">
        <v>-0.47566825000000001</v>
      </c>
      <c r="P80">
        <v>-0.38069350000000002</v>
      </c>
      <c r="Q80">
        <v>0.78772633999999997</v>
      </c>
      <c r="R80">
        <v>1.0790660000000001</v>
      </c>
      <c r="S80">
        <v>-1.038724</v>
      </c>
      <c r="T80">
        <v>0.49405919999999998</v>
      </c>
      <c r="U80">
        <v>0.23094010000000001</v>
      </c>
      <c r="V80">
        <v>0.4489108</v>
      </c>
      <c r="W80">
        <v>-0.69038796000000002</v>
      </c>
      <c r="X80">
        <v>1.1736394000000001</v>
      </c>
      <c r="Y80">
        <v>0.72022410000000003</v>
      </c>
      <c r="Z80">
        <v>-0.11836857000000001</v>
      </c>
      <c r="AA80">
        <v>-0.53628653000000004</v>
      </c>
      <c r="AB80">
        <v>-0.23547171</v>
      </c>
      <c r="AC80">
        <v>-0.35556144000000001</v>
      </c>
      <c r="AD80">
        <v>-0.46927829999999998</v>
      </c>
      <c r="AE80">
        <v>-0.27568809999999999</v>
      </c>
      <c r="AF80">
        <v>-0.17110481999999999</v>
      </c>
      <c r="AG80">
        <v>2.4849066999999998</v>
      </c>
      <c r="AH80">
        <v>2.3271291000000001</v>
      </c>
      <c r="AI80">
        <f t="shared" si="10"/>
        <v>2.2376066861459734</v>
      </c>
      <c r="AJ80">
        <f t="shared" si="11"/>
        <v>2.1334396000065743</v>
      </c>
      <c r="AK80">
        <f t="shared" si="12"/>
        <v>0.54505523280267687</v>
      </c>
      <c r="AL80">
        <f t="shared" si="13"/>
        <v>3.2848629578052995</v>
      </c>
      <c r="AM80" s="3">
        <f t="shared" si="14"/>
        <v>2.3544633093088438</v>
      </c>
    </row>
    <row r="82" spans="33:39">
      <c r="AG82" t="s">
        <v>39</v>
      </c>
      <c r="AI82" s="4">
        <v>26</v>
      </c>
      <c r="AJ82" s="4">
        <v>11</v>
      </c>
      <c r="AK82" s="4">
        <v>4</v>
      </c>
      <c r="AL82" s="4">
        <v>1</v>
      </c>
      <c r="AM82" s="4">
        <v>37</v>
      </c>
    </row>
  </sheetData>
  <pageMargins left="0.7" right="0.7" top="0.75" bottom="0.75" header="0.3" footer="0.3"/>
  <ignoredErrors>
    <ignoredError sqref="AL2" evalError="1"/>
  </ignoredErrors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sample_predictions_Student Perf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Antonius Miquel</dc:creator>
  <cp:lastModifiedBy>Antonius Miquel</cp:lastModifiedBy>
  <dcterms:created xsi:type="dcterms:W3CDTF">2025-04-27T12:18:29Z</dcterms:created>
  <dcterms:modified xsi:type="dcterms:W3CDTF">2025-04-28T21:13:09Z</dcterms:modified>
</cp:coreProperties>
</file>